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zeYCCAeSpbypylrT0bJN3GnWGOy74v6CKQV8EIMV7Aw="/>
    </ext>
  </extLst>
</workbook>
</file>

<file path=xl/sharedStrings.xml><?xml version="1.0" encoding="utf-8"?>
<sst xmlns="http://schemas.openxmlformats.org/spreadsheetml/2006/main" count="704" uniqueCount="175">
  <si>
    <t>Final Quotation</t>
  </si>
  <si>
    <t>Set Up Fees &amp; Fees</t>
  </si>
  <si>
    <t>Price</t>
  </si>
  <si>
    <t>Year 1</t>
  </si>
  <si>
    <t>Year 2</t>
  </si>
  <si>
    <t>Year 3</t>
  </si>
  <si>
    <t>Year 4</t>
  </si>
  <si>
    <t>Year 5</t>
  </si>
  <si>
    <t>Network Joining Fee</t>
  </si>
  <si>
    <t>Other pricing line items</t>
  </si>
  <si>
    <t>Price (USD)</t>
  </si>
  <si>
    <t>Month</t>
  </si>
  <si>
    <t>Commitment Fee</t>
  </si>
  <si>
    <t>Set Up Fee</t>
  </si>
  <si>
    <t>Service Request Fee (Reversal Request)</t>
  </si>
  <si>
    <t>Fee currency</t>
  </si>
  <si>
    <t>Service Request Fee (Proof of payment)</t>
  </si>
  <si>
    <t>Emergency Funding Fee</t>
  </si>
  <si>
    <t>Treasury Management Fee</t>
  </si>
  <si>
    <t>Pricing Model</t>
  </si>
  <si>
    <t>FX Model</t>
  </si>
  <si>
    <t>Treasury Management Currency</t>
  </si>
  <si>
    <t>Thunes Business Hub Fee</t>
  </si>
  <si>
    <t>Source Currency</t>
  </si>
  <si>
    <t>Funding Currency</t>
  </si>
  <si>
    <t>Contract length (years)</t>
  </si>
  <si>
    <t>FX Pricing</t>
  </si>
  <si>
    <t>Corridors</t>
  </si>
  <si>
    <t>Region</t>
  </si>
  <si>
    <t>Country</t>
  </si>
  <si>
    <t>Service</t>
  </si>
  <si>
    <t>Vertical</t>
  </si>
  <si>
    <t>Payout Cur</t>
  </si>
  <si>
    <t>Payer</t>
  </si>
  <si>
    <t>Volume</t>
  </si>
  <si>
    <t>Fixed Fee</t>
  </si>
  <si>
    <t>Variable Fee</t>
  </si>
  <si>
    <t>Fx Source</t>
  </si>
  <si>
    <t>FX Spread</t>
  </si>
  <si>
    <t>Min amount</t>
  </si>
  <si>
    <t>Max amount</t>
  </si>
  <si>
    <t>Payment speed</t>
  </si>
  <si>
    <t>MENA</t>
  </si>
  <si>
    <t>Bahrain</t>
  </si>
  <si>
    <t>BankAccount</t>
  </si>
  <si>
    <t>C2C</t>
  </si>
  <si>
    <t>BHD</t>
  </si>
  <si>
    <t>Banks</t>
  </si>
  <si>
    <t>USD</t>
  </si>
  <si>
    <t>Cost Plus</t>
  </si>
  <si>
    <t>BHD 0</t>
  </si>
  <si>
    <t>No Limit</t>
  </si>
  <si>
    <t>None</t>
  </si>
  <si>
    <t>APAC</t>
  </si>
  <si>
    <t>Bangladesh</t>
  </si>
  <si>
    <t>MobileWallet</t>
  </si>
  <si>
    <t>BDT</t>
  </si>
  <si>
    <t>Nagad</t>
  </si>
  <si>
    <t>BDT 50</t>
  </si>
  <si>
    <t>BDT 250000</t>
  </si>
  <si>
    <t>Transaction processed within 5 minutes (Mon, Tue, Wed, Thu, Fri, Sat, Sun), processing during banking holiday</t>
  </si>
  <si>
    <t>BKash</t>
  </si>
  <si>
    <t>BDT 0</t>
  </si>
  <si>
    <t>Egypt</t>
  </si>
  <si>
    <t>EGP</t>
  </si>
  <si>
    <t>All Mobile Wallets in Egypt via Meeza</t>
  </si>
  <si>
    <t>EGP 1</t>
  </si>
  <si>
    <t>Transaction processed within 15 minutes (Mon, Tue, Wed, Thu, Fri, Sat, Sun), not processing during banking holiday</t>
  </si>
  <si>
    <t>* 10</t>
  </si>
  <si>
    <t>Transaction processed T+0 at 23:59:00, cut-off at 13:00:00 (Africa/Cairo GMT+02:00) (Mon, Tue, Wed, Thu, Sun), not processing during banking holiday</t>
  </si>
  <si>
    <t>Like for Like</t>
  </si>
  <si>
    <t>USD 10</t>
  </si>
  <si>
    <t>Transaction processed T+1 at 23:59:00, cut-off at 13:00:00 (Africa/Cairo GMT+02:00) (Mon, Tue, Wed, Thu, Sun), not processing during banking holiday</t>
  </si>
  <si>
    <t>Indonesia</t>
  </si>
  <si>
    <t>IDR</t>
  </si>
  <si>
    <t>LinkAja</t>
  </si>
  <si>
    <t>IDR 10000</t>
  </si>
  <si>
    <t>IDR 20000000</t>
  </si>
  <si>
    <t>Ovo</t>
  </si>
  <si>
    <t>GoPay</t>
  </si>
  <si>
    <t>Dana</t>
  </si>
  <si>
    <t>IDR 20000</t>
  </si>
  <si>
    <t>AstraPay</t>
  </si>
  <si>
    <t>ShopeePay</t>
  </si>
  <si>
    <t>IMKas</t>
  </si>
  <si>
    <t>* 250000000</t>
  </si>
  <si>
    <t>Jordan</t>
  </si>
  <si>
    <t>JOD</t>
  </si>
  <si>
    <t>* 1</t>
  </si>
  <si>
    <t>JOD 4999.99</t>
  </si>
  <si>
    <t>Transaction processed T+1 at 18:00:00, cut-off at 12:00:00 (Asia/Amman GMT+03:00) (Mon, Tue, Wed, Thu, Sun), not processing during banking holiday</t>
  </si>
  <si>
    <t>Malaysia</t>
  </si>
  <si>
    <t>MYR</t>
  </si>
  <si>
    <t>TNG Digital</t>
  </si>
  <si>
    <t>MYR 1</t>
  </si>
  <si>
    <t>MYR 10000</t>
  </si>
  <si>
    <t>BigPay</t>
  </si>
  <si>
    <t>* 50000</t>
  </si>
  <si>
    <t>Morocco</t>
  </si>
  <si>
    <t>MAD</t>
  </si>
  <si>
    <t>Orange Money Morocco</t>
  </si>
  <si>
    <t>MAD 5</t>
  </si>
  <si>
    <t>MAD 20000</t>
  </si>
  <si>
    <t>* 13</t>
  </si>
  <si>
    <t>MAD 80000</t>
  </si>
  <si>
    <t>From 0 to 20,000.00 MAD, transaction processed within 5 minutes (Mon, Tue, Wed, Thu, Fri, Sat, Sun), processing during banking holiday
From 20,000.00 MAD to 80,000.00 MAD, transaction processed T+1 at 09:00:00, cut-off at 18:00:00 (Africa/Casablanca GMT+00:00) (Mon, Tue, Wed, Thu, Fri), not processing during banking holiday</t>
  </si>
  <si>
    <t>Oman</t>
  </si>
  <si>
    <t>OMR</t>
  </si>
  <si>
    <t>OMR 50</t>
  </si>
  <si>
    <t>OMR 100000</t>
  </si>
  <si>
    <t>Transaction processed T+1 at 09:00:00, cut-off at 11:00:00 (Asia/Muscat GMT+04:00) (Mon, Tue, Wed, Thu, Sun), not processing during banking holiday</t>
  </si>
  <si>
    <t>Pakistan</t>
  </si>
  <si>
    <t>PKR</t>
  </si>
  <si>
    <t>Jazz Cash Wallet</t>
  </si>
  <si>
    <t>PKR 0</t>
  </si>
  <si>
    <t>PKR 50000</t>
  </si>
  <si>
    <t>Easy Paisa Wallet</t>
  </si>
  <si>
    <t>SadaPay</t>
  </si>
  <si>
    <t>PKR 400000</t>
  </si>
  <si>
    <t>Finja wallet</t>
  </si>
  <si>
    <t>NayaPay</t>
  </si>
  <si>
    <t>Philippines</t>
  </si>
  <si>
    <t>PHP</t>
  </si>
  <si>
    <t>Coins</t>
  </si>
  <si>
    <t>PHP 0</t>
  </si>
  <si>
    <t>PHP 400000</t>
  </si>
  <si>
    <t>Transaction processed within 0 minutes (Mon, Tue, Wed, Thu, Fri, Sat, Sun), not processing during banking holiday</t>
  </si>
  <si>
    <t>PayMaya</t>
  </si>
  <si>
    <t>PHP 500000</t>
  </si>
  <si>
    <t>From 0 to 50,000.01 PHP, transaction processed within 5 minutes (Mon, Tue, Wed, Thu, Fri, Sat, Sun), not processing during banking holiday
From 50,000.01 PHP to infinity, transaction processed T+1 at 09:00:00, cut-off at 14:00:00 (Asia/Manila GMT+08:00) (Mon, Tue, Wed, Thu, Fri), not processing during banking holiday</t>
  </si>
  <si>
    <t>GrabPay</t>
  </si>
  <si>
    <t>PHP 1</t>
  </si>
  <si>
    <t>PHP 50000</t>
  </si>
  <si>
    <t>From 0 to 50,000.00 PHP, transaction processed within 5 minutes (Mon, Tue, Wed, Thu, Fri, Sat, Sun), not processing during banking holiday
From 50,000.01 PHP to infinity, transaction processed T+1 at 09:00:00, cut-off at 14:00:00 (Asia/Manila GMT+08:00) (Mon, Tue, Wed, Thu, Fri), not processing during banking holiday</t>
  </si>
  <si>
    <t>GCash</t>
  </si>
  <si>
    <t>PHP 25000000</t>
  </si>
  <si>
    <t>From 0 to 50,000.00 PHP, transaction processed within 10 minutes (Mon, Tue, Wed, Thu, Fri, Sat, Sun), not processing during banking holiday
From 50,000.01 PHP to infinity, transaction processed T+1 at 09:00:00, cut-off at 14:00:00 (Asia/Manila GMT+08:00) (Mon, Tue, Wed, Thu, Fri), not processing during banking holiday</t>
  </si>
  <si>
    <t>Qatar</t>
  </si>
  <si>
    <t>QAR</t>
  </si>
  <si>
    <t>QAR 100</t>
  </si>
  <si>
    <t>QAR 1000000</t>
  </si>
  <si>
    <t>Transaction processed T+1 at 23:59:00, cut-off at 12:00:00 (Asia/Qatar GMT+03:00) (Mon, Tue, Wed, Thu, Sat, Sun), not processing during banking holiday</t>
  </si>
  <si>
    <t>Saudi Arabia</t>
  </si>
  <si>
    <t>SAR</t>
  </si>
  <si>
    <t>STC Pay</t>
  </si>
  <si>
    <t>SAR 0</t>
  </si>
  <si>
    <t>From 0 to 19,999.99 SAR, transaction processed within 10 minutes (Mon, Tue, Wed, Thu, Fri, Sat, Sun), processing during banking holiday
From 20,000.00 SAR to infinity, transaction processed T+0 at 23:59:59, cut-off at 14:30:00 (Asia/Riyadh GMT+03:00) (Sun, Mon, Tue, Wed, Thu), not processing during banking holiday</t>
  </si>
  <si>
    <t xml:space="preserve">Mobily Pay	</t>
  </si>
  <si>
    <t>UR Pay</t>
  </si>
  <si>
    <t xml:space="preserve">Alinma Pay	</t>
  </si>
  <si>
    <t>Loop</t>
  </si>
  <si>
    <t>Tiqmo</t>
  </si>
  <si>
    <t>Barq</t>
  </si>
  <si>
    <t>Enjaz App</t>
  </si>
  <si>
    <t>Bouki</t>
  </si>
  <si>
    <t>Neo</t>
  </si>
  <si>
    <t>IZ</t>
  </si>
  <si>
    <t>Singapore</t>
  </si>
  <si>
    <t>SGD</t>
  </si>
  <si>
    <t>SGD 0</t>
  </si>
  <si>
    <t>SGD 200000</t>
  </si>
  <si>
    <t>Transaction processed within 5 minutes (Sat, Fri, Thu, Wed, Tue, Mon, Sun), processing during banking holiday</t>
  </si>
  <si>
    <t>Tunisia</t>
  </si>
  <si>
    <t>TND</t>
  </si>
  <si>
    <t>TND 5</t>
  </si>
  <si>
    <t>TND 5000</t>
  </si>
  <si>
    <t>Transaction processed T+2 at 23:59:00, cut-off at 16:00:00 (Africa/Tunis GMT+01:00) (Mon, Tue, Wed, Thu, Fri), not processing during banking holiday</t>
  </si>
  <si>
    <t>Turkey</t>
  </si>
  <si>
    <t>TRY</t>
  </si>
  <si>
    <t>TRY 1</t>
  </si>
  <si>
    <t>TRY 1000000</t>
  </si>
  <si>
    <t>United Arab Emirates</t>
  </si>
  <si>
    <t>AED</t>
  </si>
  <si>
    <t>AED 3.68</t>
  </si>
  <si>
    <t>Transaction processed within 240 minutes (Mon, Tue, Wed, Thu, Fri, Sat, Sun), processing during banking holiday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</si>
</sst>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&quot;-&quot;??_-;_-@"/>
    <numFmt numFmtId="165" formatCode="_-* #,##0_-;\-* #,##0_-;_-* &quot;-&quot;??_-;_-@"/>
  </numFmts>
  <fonts count="8">
    <font>
      <sz val="11.0"/>
      <color theme="1"/>
      <name val="Aptos Narrow"/>
      <scheme val="minor"/>
    </font>
    <font>
      <b/>
      <sz val="16.0"/>
      <color theme="1"/>
      <name val="Aptos Narrow"/>
    </font>
    <font>
      <b/>
      <sz val="22.0"/>
      <color theme="1"/>
      <name val="Aptos Narrow"/>
    </font>
    <font/>
    <font>
      <b/>
      <sz val="12.0"/>
      <color theme="1"/>
      <name val="Aptos Narrow"/>
    </font>
    <font>
      <b/>
      <sz val="12.0"/>
      <color rgb="FFF2F2F2"/>
      <name val="Aptos Narrow"/>
    </font>
    <font>
      <b/>
      <sz val="14.0"/>
      <color theme="1"/>
      <name val="Aptos Narrow"/>
    </font>
    <font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B3E5A1"/>
        <bgColor rgb="FFB3E5A1"/>
      </patternFill>
    </fill>
    <fill>
      <patternFill patternType="solid">
        <fgColor rgb="FFF2F2F2"/>
        <bgColor rgb="FFF2F2F2"/>
      </patternFill>
    </fill>
    <fill>
      <patternFill patternType="solid">
        <fgColor rgb="FF8ED873"/>
        <bgColor rgb="FF8ED873"/>
      </patternFill>
    </fill>
  </fills>
  <borders count="12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45B0E1"/>
      </left>
      <right/>
      <top style="thin">
        <color rgb="FF45B0E1"/>
      </top>
      <bottom style="thin">
        <color rgb="FF45B0E1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2" fontId="2" numFmtId="0" xfId="0" applyAlignment="1" applyBorder="1" applyFont="1">
      <alignment vertical="center"/>
    </xf>
    <xf borderId="1" fillId="3" fontId="4" numFmtId="0" xfId="0" applyAlignment="1" applyBorder="1" applyFill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1" fillId="3" fontId="4" numFmtId="164" xfId="0" applyAlignment="1" applyBorder="1" applyFont="1" applyNumberFormat="1">
      <alignment horizontal="center"/>
    </xf>
    <xf borderId="1" fillId="3" fontId="4" numFmtId="10" xfId="0" applyAlignment="1" applyBorder="1" applyFont="1" applyNumberFormat="1">
      <alignment horizontal="center"/>
    </xf>
    <xf borderId="1" fillId="3" fontId="5" numFmtId="0" xfId="0" applyAlignment="1" applyBorder="1" applyFont="1">
      <alignment horizontal="center"/>
    </xf>
    <xf borderId="8" fillId="2" fontId="1" numFmtId="0" xfId="0" applyAlignment="1" applyBorder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1" fillId="2" fontId="6" numFmtId="0" xfId="0" applyAlignment="1" applyBorder="1" applyFont="1">
      <alignment horizontal="center"/>
    </xf>
    <xf borderId="1" fillId="3" fontId="4" numFmtId="164" xfId="0" applyAlignment="1" applyBorder="1" applyFont="1" applyNumberFormat="1">
      <alignment horizontal="right"/>
    </xf>
    <xf borderId="1" fillId="2" fontId="4" numFmtId="165" xfId="0" applyAlignment="1" applyBorder="1" applyFont="1" applyNumberFormat="1">
      <alignment horizontal="center"/>
    </xf>
    <xf borderId="1" fillId="2" fontId="4" numFmtId="164" xfId="0" applyAlignment="1" applyBorder="1" applyFont="1" applyNumberFormat="1">
      <alignment horizontal="center"/>
    </xf>
    <xf borderId="1" fillId="2" fontId="4" numFmtId="0" xfId="0" applyAlignment="1" applyBorder="1" applyFont="1">
      <alignment horizontal="center"/>
    </xf>
    <xf borderId="1" fillId="3" fontId="7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/>
    </xf>
    <xf borderId="1" fillId="4" fontId="1" numFmtId="164" xfId="0" applyAlignment="1" applyBorder="1" applyFont="1" applyNumberFormat="1">
      <alignment horizontal="center"/>
    </xf>
    <xf borderId="1" fillId="4" fontId="1" numFmtId="10" xfId="0" applyAlignment="1" applyBorder="1" applyFont="1" applyNumberFormat="1">
      <alignment horizontal="center"/>
    </xf>
    <xf borderId="11" fillId="3" fontId="4" numFmtId="0" xfId="0" applyAlignment="1" applyBorder="1" applyFont="1">
      <alignment horizontal="center"/>
    </xf>
    <xf borderId="11" fillId="3" fontId="4" numFmtId="164" xfId="0" applyAlignment="1" applyBorder="1" applyFont="1" applyNumberFormat="1">
      <alignment horizontal="center"/>
    </xf>
    <xf borderId="11" fillId="3" fontId="4" numFmtId="10" xfId="0" applyAlignment="1" applyBorder="1" applyFont="1" applyNumberFormat="1">
      <alignment horizontal="center"/>
    </xf>
    <xf borderId="11" fillId="3" fontId="4" numFmtId="2" xfId="0" applyAlignment="1" applyBorder="1" applyFont="1" applyNumberFormat="1">
      <alignment horizontal="center"/>
    </xf>
    <xf borderId="11" fillId="3" fontId="4" numFmtId="10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Pay%20Pricing%20Tool%20(Corridor%20Pricing)%20V21%20-%20Mal.ai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structions"/>
      <sheetName val="Summary"/>
      <sheetName val="Set Up fee"/>
      <sheetName val="Pricing"/>
      <sheetName val="data 1 (summary)"/>
      <sheetName val="data 2 (pricing)"/>
      <sheetName val="costs"/>
      <sheetName val="correct region format"/>
      <sheetName val="Rates"/>
      <sheetName val="P&amp;L"/>
      <sheetName val="Quoting Summary BD"/>
      <sheetName val="SD quotation"/>
      <sheetName val="Legal"/>
      <sheetName val="Prohibited countries"/>
      <sheetName val="Pricing Strategy"/>
      <sheetName val="ATV"/>
      <sheetName val="Back end partner info"/>
      <sheetName val="Countries"/>
      <sheetName val="serv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3" width="22.5"/>
    <col customWidth="1" min="4" max="4" width="17.88"/>
    <col customWidth="1" min="5" max="5" width="14.88"/>
    <col customWidth="1" min="6" max="6" width="39.5"/>
    <col customWidth="1" min="7" max="7" width="14.13"/>
    <col customWidth="1" min="8" max="8" width="25.0"/>
    <col customWidth="1" min="9" max="9" width="22.25"/>
    <col customWidth="1" min="10" max="10" width="17.5"/>
    <col customWidth="1" min="11" max="11" width="17.0"/>
    <col customWidth="1" min="12" max="12" width="16.63"/>
    <col customWidth="1" min="13" max="13" width="17.25"/>
    <col customWidth="1" min="14" max="14" width="13.63"/>
    <col customWidth="1" min="15" max="15" width="17.0"/>
    <col customWidth="1" min="16" max="16" width="16.5"/>
    <col customWidth="1" min="17" max="37" width="8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5"/>
      <c r="P1" s="5"/>
      <c r="Q1" s="5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 ht="15.75" customHeight="1">
      <c r="A2" s="1"/>
      <c r="B2" s="7"/>
      <c r="C2" s="8"/>
      <c r="D2" s="8"/>
      <c r="E2" s="8"/>
      <c r="F2" s="8"/>
      <c r="G2" s="8"/>
      <c r="H2" s="8"/>
      <c r="I2" s="8"/>
      <c r="J2" s="8"/>
      <c r="K2" s="8"/>
      <c r="L2" s="9"/>
      <c r="M2" s="5"/>
      <c r="N2" s="5"/>
      <c r="O2" s="5"/>
      <c r="P2" s="5"/>
      <c r="Q2" s="5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ht="14.25" customHeight="1">
      <c r="A3" s="6"/>
      <c r="B3" s="6"/>
      <c r="C3" s="6"/>
      <c r="D3" s="6"/>
      <c r="E3" s="6"/>
      <c r="F3" s="6"/>
      <c r="G3" s="10"/>
      <c r="H3" s="10"/>
      <c r="I3" s="6"/>
      <c r="J3" s="6"/>
      <c r="K3" s="6"/>
      <c r="L3" s="6"/>
      <c r="M3" s="11"/>
      <c r="N3" s="11"/>
      <c r="O3" s="12"/>
      <c r="P3" s="12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ht="14.25" customHeight="1">
      <c r="A4" s="13"/>
      <c r="B4" s="14"/>
      <c r="C4" s="13" t="s">
        <v>1</v>
      </c>
      <c r="D4" s="15"/>
      <c r="E4" s="15"/>
      <c r="F4" s="15"/>
      <c r="G4" s="14"/>
      <c r="H4" s="1"/>
      <c r="I4" s="1"/>
      <c r="J4" s="1"/>
      <c r="K4" s="1"/>
      <c r="L4" s="1"/>
      <c r="M4" s="1"/>
      <c r="N4" s="1"/>
      <c r="O4" s="1"/>
      <c r="P4" s="1"/>
      <c r="Q4" s="1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 ht="14.25" customHeight="1">
      <c r="A5" s="6"/>
      <c r="B5" s="6"/>
      <c r="C5" s="6"/>
      <c r="D5" s="6"/>
      <c r="E5" s="6"/>
      <c r="F5" s="6"/>
      <c r="G5" s="10"/>
      <c r="H5" s="10"/>
      <c r="I5" s="6"/>
      <c r="J5" s="6"/>
      <c r="K5" s="12"/>
      <c r="L5" s="12"/>
      <c r="M5" s="11"/>
      <c r="N5" s="11"/>
      <c r="O5" s="11"/>
      <c r="P5" s="11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4.25" customHeight="1">
      <c r="A6" s="6"/>
      <c r="B6" s="6"/>
      <c r="C6" s="6"/>
      <c r="D6" s="6" t="s">
        <v>2</v>
      </c>
      <c r="E6" s="6"/>
      <c r="F6" s="6"/>
      <c r="G6" s="10"/>
      <c r="H6" s="10"/>
      <c r="I6" s="10" t="s">
        <v>3</v>
      </c>
      <c r="J6" s="6"/>
      <c r="K6" s="10" t="s">
        <v>4</v>
      </c>
      <c r="L6" s="6"/>
      <c r="M6" s="10" t="s">
        <v>5</v>
      </c>
      <c r="N6" s="6"/>
      <c r="O6" s="10" t="s">
        <v>6</v>
      </c>
      <c r="P6" s="6"/>
      <c r="Q6" s="10" t="s">
        <v>7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 ht="14.25" customHeight="1">
      <c r="A7" s="6"/>
      <c r="B7" s="6"/>
      <c r="C7" s="6" t="s">
        <v>8</v>
      </c>
      <c r="D7" s="10" t="str">
        <f t="shared" ref="D7:D8" si="1">'[1]Set Up fee'!I26</f>
        <v>#REF!</v>
      </c>
      <c r="E7" s="6"/>
      <c r="F7" s="16" t="s">
        <v>9</v>
      </c>
      <c r="G7" s="16" t="s">
        <v>10</v>
      </c>
      <c r="H7" s="6" t="s">
        <v>11</v>
      </c>
      <c r="I7" s="6" t="s">
        <v>12</v>
      </c>
      <c r="J7" s="6" t="s">
        <v>11</v>
      </c>
      <c r="K7" s="6" t="s">
        <v>12</v>
      </c>
      <c r="L7" s="6" t="s">
        <v>11</v>
      </c>
      <c r="M7" s="6" t="s">
        <v>12</v>
      </c>
      <c r="N7" s="6" t="s">
        <v>11</v>
      </c>
      <c r="O7" s="6" t="s">
        <v>12</v>
      </c>
      <c r="P7" s="6" t="s">
        <v>11</v>
      </c>
      <c r="Q7" s="6" t="s">
        <v>12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 ht="14.25" customHeight="1">
      <c r="A8" s="6"/>
      <c r="B8" s="6"/>
      <c r="C8" s="6" t="s">
        <v>13</v>
      </c>
      <c r="D8" s="17" t="str">
        <f t="shared" si="1"/>
        <v>#REF!</v>
      </c>
      <c r="E8" s="6"/>
      <c r="F8" s="10" t="s">
        <v>14</v>
      </c>
      <c r="G8" s="10" t="str">
        <f t="shared" ref="G8:G14" si="2">'[1]Set Up fee'!I60</f>
        <v>#REF!</v>
      </c>
      <c r="H8" s="6">
        <v>1.0</v>
      </c>
      <c r="I8" s="18" t="str">
        <f t="shared" ref="I8:I19" si="3">'[1]Set Up fee'!C42</f>
        <v>#REF!</v>
      </c>
      <c r="J8" s="6">
        <v>13.0</v>
      </c>
      <c r="K8" s="18">
        <v>7000.0</v>
      </c>
      <c r="L8" s="6">
        <v>25.0</v>
      </c>
      <c r="M8" s="19" t="str">
        <f t="shared" ref="M8:M19" si="4">'[1]Set Up fee'!G42</f>
        <v>#REF!</v>
      </c>
      <c r="N8" s="6">
        <v>37.0</v>
      </c>
      <c r="O8" s="19" t="str">
        <f t="shared" ref="O8:O19" si="5">'[1]Set Up fee'!I42</f>
        <v>#REF!</v>
      </c>
      <c r="P8" s="6">
        <f>N19+1</f>
        <v>49</v>
      </c>
      <c r="Q8" s="19" t="str">
        <f t="shared" ref="Q8:Q19" si="6">'[1]Set Up fee'!K42</f>
        <v>#REF!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 ht="14.25" customHeight="1">
      <c r="A9" s="6"/>
      <c r="B9" s="6" t="s">
        <v>15</v>
      </c>
      <c r="C9" s="6"/>
      <c r="D9" s="6"/>
      <c r="E9" s="6"/>
      <c r="F9" s="10" t="s">
        <v>16</v>
      </c>
      <c r="G9" s="10" t="str">
        <f t="shared" si="2"/>
        <v>#REF!</v>
      </c>
      <c r="H9" s="6">
        <v>2.0</v>
      </c>
      <c r="I9" s="18" t="str">
        <f t="shared" si="3"/>
        <v>#REF!</v>
      </c>
      <c r="J9" s="6">
        <v>14.0</v>
      </c>
      <c r="K9" s="18">
        <v>7000.0</v>
      </c>
      <c r="L9" s="6">
        <v>26.0</v>
      </c>
      <c r="M9" s="19" t="str">
        <f t="shared" si="4"/>
        <v>#REF!</v>
      </c>
      <c r="N9" s="6">
        <v>38.0</v>
      </c>
      <c r="O9" s="19" t="str">
        <f t="shared" si="5"/>
        <v>#REF!</v>
      </c>
      <c r="P9" s="6">
        <f t="shared" ref="P9:P19" si="7">P8+1</f>
        <v>50</v>
      </c>
      <c r="Q9" s="19" t="str">
        <f t="shared" si="6"/>
        <v>#REF!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 ht="14.25" customHeight="1">
      <c r="A10" s="6"/>
      <c r="B10" s="20" t="str">
        <f>+[1]Summary!K24</f>
        <v>#ERROR!</v>
      </c>
      <c r="C10" s="6"/>
      <c r="D10" s="6"/>
      <c r="E10" s="6"/>
      <c r="F10" s="6" t="s">
        <v>17</v>
      </c>
      <c r="G10" s="11" t="str">
        <f t="shared" si="2"/>
        <v>#REF!</v>
      </c>
      <c r="H10" s="6">
        <v>3.0</v>
      </c>
      <c r="I10" s="18" t="str">
        <f t="shared" si="3"/>
        <v>#REF!</v>
      </c>
      <c r="J10" s="6">
        <v>15.0</v>
      </c>
      <c r="K10" s="18">
        <v>7000.0</v>
      </c>
      <c r="L10" s="6">
        <v>27.0</v>
      </c>
      <c r="M10" s="19" t="str">
        <f t="shared" si="4"/>
        <v>#REF!</v>
      </c>
      <c r="N10" s="6">
        <v>39.0</v>
      </c>
      <c r="O10" s="19" t="str">
        <f t="shared" si="5"/>
        <v>#REF!</v>
      </c>
      <c r="P10" s="6">
        <f t="shared" si="7"/>
        <v>51</v>
      </c>
      <c r="Q10" s="19" t="str">
        <f t="shared" si="6"/>
        <v>#REF!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 ht="14.25" customHeight="1">
      <c r="A11" s="6"/>
      <c r="B11" s="6"/>
      <c r="C11" s="6"/>
      <c r="D11" s="6"/>
      <c r="E11" s="6"/>
      <c r="F11" s="6" t="s">
        <v>18</v>
      </c>
      <c r="G11" s="11" t="str">
        <f t="shared" si="2"/>
        <v>#REF!</v>
      </c>
      <c r="H11" s="6">
        <v>4.0</v>
      </c>
      <c r="I11" s="18" t="str">
        <f t="shared" si="3"/>
        <v>#REF!</v>
      </c>
      <c r="J11" s="6">
        <v>16.0</v>
      </c>
      <c r="K11" s="18">
        <v>7000.0</v>
      </c>
      <c r="L11" s="6">
        <v>28.0</v>
      </c>
      <c r="M11" s="19" t="str">
        <f t="shared" si="4"/>
        <v>#REF!</v>
      </c>
      <c r="N11" s="6">
        <v>40.0</v>
      </c>
      <c r="O11" s="19" t="str">
        <f t="shared" si="5"/>
        <v>#REF!</v>
      </c>
      <c r="P11" s="6">
        <f t="shared" si="7"/>
        <v>52</v>
      </c>
      <c r="Q11" s="19" t="str">
        <f t="shared" si="6"/>
        <v>#REF!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 ht="14.25" customHeight="1">
      <c r="A12" s="6"/>
      <c r="B12" s="6" t="s">
        <v>19</v>
      </c>
      <c r="C12" s="6"/>
      <c r="D12" s="6" t="s">
        <v>20</v>
      </c>
      <c r="E12" s="6"/>
      <c r="F12" s="6" t="s">
        <v>21</v>
      </c>
      <c r="G12" s="10" t="str">
        <f t="shared" si="2"/>
        <v>#REF!</v>
      </c>
      <c r="H12" s="6">
        <v>5.0</v>
      </c>
      <c r="I12" s="18" t="str">
        <f t="shared" si="3"/>
        <v>#REF!</v>
      </c>
      <c r="J12" s="6">
        <v>17.0</v>
      </c>
      <c r="K12" s="18">
        <v>7000.0</v>
      </c>
      <c r="L12" s="6">
        <v>29.0</v>
      </c>
      <c r="M12" s="19" t="str">
        <f t="shared" si="4"/>
        <v>#REF!</v>
      </c>
      <c r="N12" s="6">
        <v>41.0</v>
      </c>
      <c r="O12" s="19" t="str">
        <f t="shared" si="5"/>
        <v>#REF!</v>
      </c>
      <c r="P12" s="6">
        <f t="shared" si="7"/>
        <v>53</v>
      </c>
      <c r="Q12" s="19" t="str">
        <f t="shared" si="6"/>
        <v>#REF!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 ht="14.25" customHeight="1">
      <c r="A13" s="6"/>
      <c r="B13" s="20" t="str">
        <f>[1]Summary!H18</f>
        <v>#ERROR!</v>
      </c>
      <c r="C13" s="6"/>
      <c r="D13" s="20" t="str">
        <f>[1]Summary!E18</f>
        <v>#ERROR!</v>
      </c>
      <c r="E13" s="6"/>
      <c r="F13" s="6" t="s">
        <v>21</v>
      </c>
      <c r="G13" s="10" t="str">
        <f t="shared" si="2"/>
        <v>#REF!</v>
      </c>
      <c r="H13" s="6">
        <v>6.0</v>
      </c>
      <c r="I13" s="18" t="str">
        <f t="shared" si="3"/>
        <v>#REF!</v>
      </c>
      <c r="J13" s="6">
        <v>18.0</v>
      </c>
      <c r="K13" s="18">
        <v>7000.0</v>
      </c>
      <c r="L13" s="6">
        <v>30.0</v>
      </c>
      <c r="M13" s="19" t="str">
        <f t="shared" si="4"/>
        <v>#REF!</v>
      </c>
      <c r="N13" s="6">
        <v>42.0</v>
      </c>
      <c r="O13" s="19" t="str">
        <f t="shared" si="5"/>
        <v>#REF!</v>
      </c>
      <c r="P13" s="6">
        <f t="shared" si="7"/>
        <v>54</v>
      </c>
      <c r="Q13" s="19" t="str">
        <f t="shared" si="6"/>
        <v>#REF!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 ht="14.25" customHeight="1">
      <c r="A14" s="6"/>
      <c r="B14" s="21"/>
      <c r="C14" s="21"/>
      <c r="D14" s="21"/>
      <c r="E14" s="6"/>
      <c r="F14" s="6" t="s">
        <v>22</v>
      </c>
      <c r="G14" s="10" t="str">
        <f t="shared" si="2"/>
        <v>#REF!</v>
      </c>
      <c r="H14" s="6">
        <v>7.0</v>
      </c>
      <c r="I14" s="18" t="str">
        <f t="shared" si="3"/>
        <v>#REF!</v>
      </c>
      <c r="J14" s="6">
        <v>19.0</v>
      </c>
      <c r="K14" s="18">
        <v>7000.0</v>
      </c>
      <c r="L14" s="6">
        <v>31.0</v>
      </c>
      <c r="M14" s="19" t="str">
        <f t="shared" si="4"/>
        <v>#REF!</v>
      </c>
      <c r="N14" s="6">
        <v>43.0</v>
      </c>
      <c r="O14" s="19" t="str">
        <f t="shared" si="5"/>
        <v>#REF!</v>
      </c>
      <c r="P14" s="6">
        <f t="shared" si="7"/>
        <v>55</v>
      </c>
      <c r="Q14" s="19" t="str">
        <f t="shared" si="6"/>
        <v>#REF!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 ht="14.25" customHeight="1">
      <c r="A15" s="6"/>
      <c r="B15" s="6" t="s">
        <v>23</v>
      </c>
      <c r="C15" s="6"/>
      <c r="D15" s="6" t="s">
        <v>24</v>
      </c>
      <c r="E15" s="6"/>
      <c r="F15" s="6"/>
      <c r="G15" s="10"/>
      <c r="H15" s="6">
        <v>8.0</v>
      </c>
      <c r="I15" s="18" t="str">
        <f t="shared" si="3"/>
        <v>#REF!</v>
      </c>
      <c r="J15" s="6">
        <v>20.0</v>
      </c>
      <c r="K15" s="18">
        <v>7000.0</v>
      </c>
      <c r="L15" s="6">
        <v>32.0</v>
      </c>
      <c r="M15" s="19" t="str">
        <f t="shared" si="4"/>
        <v>#REF!</v>
      </c>
      <c r="N15" s="6">
        <v>44.0</v>
      </c>
      <c r="O15" s="19" t="str">
        <f t="shared" si="5"/>
        <v>#REF!</v>
      </c>
      <c r="P15" s="6">
        <f t="shared" si="7"/>
        <v>56</v>
      </c>
      <c r="Q15" s="19" t="str">
        <f t="shared" si="6"/>
        <v>#REF!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 ht="14.25" customHeight="1">
      <c r="A16" s="6"/>
      <c r="B16" s="20" t="str">
        <f>[1]Summary!H22</f>
        <v>#ERROR!</v>
      </c>
      <c r="C16" s="6"/>
      <c r="D16" s="20" t="str">
        <f>[1]Summary!E22</f>
        <v>#ERROR!</v>
      </c>
      <c r="E16" s="6"/>
      <c r="F16" s="6"/>
      <c r="G16" s="10"/>
      <c r="H16" s="6">
        <v>9.0</v>
      </c>
      <c r="I16" s="18" t="str">
        <f t="shared" si="3"/>
        <v>#REF!</v>
      </c>
      <c r="J16" s="6">
        <v>21.0</v>
      </c>
      <c r="K16" s="18">
        <v>7000.0</v>
      </c>
      <c r="L16" s="6">
        <v>33.0</v>
      </c>
      <c r="M16" s="19" t="str">
        <f t="shared" si="4"/>
        <v>#REF!</v>
      </c>
      <c r="N16" s="6">
        <v>45.0</v>
      </c>
      <c r="O16" s="19" t="str">
        <f t="shared" si="5"/>
        <v>#REF!</v>
      </c>
      <c r="P16" s="6">
        <f t="shared" si="7"/>
        <v>57</v>
      </c>
      <c r="Q16" s="19" t="str">
        <f t="shared" si="6"/>
        <v>#REF!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 ht="14.25" customHeight="1">
      <c r="A17" s="6"/>
      <c r="B17" s="20" t="str">
        <f>[1]Summary!H23</f>
        <v>#ERROR!</v>
      </c>
      <c r="C17" s="6"/>
      <c r="D17" s="20" t="str">
        <f>[1]Summary!E23</f>
        <v>#ERROR!</v>
      </c>
      <c r="E17" s="6"/>
      <c r="F17" s="6"/>
      <c r="G17" s="10"/>
      <c r="H17" s="6">
        <v>10.0</v>
      </c>
      <c r="I17" s="18" t="str">
        <f t="shared" si="3"/>
        <v>#REF!</v>
      </c>
      <c r="J17" s="6">
        <v>22.0</v>
      </c>
      <c r="K17" s="18">
        <v>7000.0</v>
      </c>
      <c r="L17" s="6">
        <v>34.0</v>
      </c>
      <c r="M17" s="19" t="str">
        <f t="shared" si="4"/>
        <v>#REF!</v>
      </c>
      <c r="N17" s="6">
        <v>46.0</v>
      </c>
      <c r="O17" s="19" t="str">
        <f t="shared" si="5"/>
        <v>#REF!</v>
      </c>
      <c r="P17" s="6">
        <f t="shared" si="7"/>
        <v>58</v>
      </c>
      <c r="Q17" s="19" t="str">
        <f t="shared" si="6"/>
        <v>#REF!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 ht="14.25" customHeight="1">
      <c r="A18" s="6"/>
      <c r="B18" s="6"/>
      <c r="C18" s="6"/>
      <c r="D18" s="6"/>
      <c r="E18" s="6"/>
      <c r="F18" s="6"/>
      <c r="G18" s="10"/>
      <c r="H18" s="6">
        <v>11.0</v>
      </c>
      <c r="I18" s="18" t="str">
        <f t="shared" si="3"/>
        <v>#REF!</v>
      </c>
      <c r="J18" s="6">
        <v>23.0</v>
      </c>
      <c r="K18" s="18">
        <v>7000.0</v>
      </c>
      <c r="L18" s="6">
        <v>35.0</v>
      </c>
      <c r="M18" s="19" t="str">
        <f t="shared" si="4"/>
        <v>#REF!</v>
      </c>
      <c r="N18" s="6">
        <v>47.0</v>
      </c>
      <c r="O18" s="19" t="str">
        <f t="shared" si="5"/>
        <v>#REF!</v>
      </c>
      <c r="P18" s="6">
        <f t="shared" si="7"/>
        <v>59</v>
      </c>
      <c r="Q18" s="19" t="str">
        <f t="shared" si="6"/>
        <v>#REF!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 ht="14.25" customHeight="1">
      <c r="A19" s="6"/>
      <c r="B19" s="6" t="s">
        <v>25</v>
      </c>
      <c r="C19" s="6"/>
      <c r="D19" s="6" t="s">
        <v>26</v>
      </c>
      <c r="E19" s="6"/>
      <c r="F19" s="6"/>
      <c r="G19" s="10"/>
      <c r="H19" s="6">
        <v>12.0</v>
      </c>
      <c r="I19" s="18" t="str">
        <f t="shared" si="3"/>
        <v>#REF!</v>
      </c>
      <c r="J19" s="6">
        <v>24.0</v>
      </c>
      <c r="K19" s="18">
        <v>7000.0</v>
      </c>
      <c r="L19" s="6">
        <v>36.0</v>
      </c>
      <c r="M19" s="19" t="str">
        <f t="shared" si="4"/>
        <v>#REF!</v>
      </c>
      <c r="N19" s="6">
        <v>48.0</v>
      </c>
      <c r="O19" s="19" t="str">
        <f t="shared" si="5"/>
        <v>#REF!</v>
      </c>
      <c r="P19" s="6">
        <f t="shared" si="7"/>
        <v>60</v>
      </c>
      <c r="Q19" s="19" t="str">
        <f t="shared" si="6"/>
        <v>#REF!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ht="14.25" customHeight="1">
      <c r="A20" s="6"/>
      <c r="B20" s="20" t="str">
        <f>[1]Summary!E9</f>
        <v>#ERROR!</v>
      </c>
      <c r="C20" s="6" t="str">
        <f t="array" ref="C20">IF('[1]Set Up fee'!I60&gt;0,"Middleware Maintance","")</f>
        <v>#REF!</v>
      </c>
      <c r="D20" s="20" t="str">
        <f>IFERROR([1]Summary!K18,"")</f>
        <v>#ERROR!</v>
      </c>
      <c r="E20" s="6"/>
      <c r="F20" s="6"/>
      <c r="G20" s="10"/>
      <c r="H20" s="10"/>
      <c r="I20" s="6"/>
      <c r="J20" s="6"/>
      <c r="K20" s="21"/>
      <c r="L20" s="21"/>
      <c r="M20" s="11"/>
      <c r="N20" s="11"/>
      <c r="O20" s="11"/>
      <c r="P20" s="11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ht="14.25" customHeight="1">
      <c r="A21" s="6"/>
      <c r="B21" s="6"/>
      <c r="C21" s="10"/>
      <c r="D21" s="6"/>
      <c r="E21" s="6"/>
      <c r="F21" s="6"/>
      <c r="G21" s="10"/>
      <c r="H21" s="10"/>
      <c r="I21" s="6"/>
      <c r="J21" s="6"/>
      <c r="K21" s="6"/>
      <c r="L21" s="6"/>
      <c r="M21" s="11"/>
      <c r="N21" s="11"/>
      <c r="O21" s="11"/>
      <c r="P21" s="11"/>
      <c r="Q21" s="6"/>
      <c r="R21" s="10"/>
      <c r="S21" s="6"/>
      <c r="T21" s="6"/>
      <c r="U21" s="6"/>
      <c r="V21" s="6"/>
      <c r="W21" s="6"/>
      <c r="X21" s="6"/>
      <c r="Y21" s="6"/>
      <c r="Z21" s="6"/>
      <c r="AA21" s="10"/>
      <c r="AB21" s="6"/>
      <c r="AC21" s="6"/>
      <c r="AD21" s="6"/>
      <c r="AE21" s="6"/>
      <c r="AF21" s="6"/>
      <c r="AG21" s="6"/>
      <c r="AH21" s="6"/>
      <c r="AI21" s="6"/>
      <c r="AJ21" s="10"/>
      <c r="AK21" s="6"/>
    </row>
    <row r="22" ht="14.25" customHeight="1">
      <c r="A22" s="13" t="s">
        <v>27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4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ht="14.25" customHeight="1">
      <c r="A23" s="22" t="s">
        <v>28</v>
      </c>
      <c r="B23" s="22" t="s">
        <v>29</v>
      </c>
      <c r="C23" s="22" t="s">
        <v>30</v>
      </c>
      <c r="D23" s="22" t="s">
        <v>31</v>
      </c>
      <c r="E23" s="22" t="s">
        <v>32</v>
      </c>
      <c r="F23" s="22" t="s">
        <v>33</v>
      </c>
      <c r="G23" s="23" t="s">
        <v>34</v>
      </c>
      <c r="H23" s="23" t="s">
        <v>24</v>
      </c>
      <c r="I23" s="22" t="s">
        <v>23</v>
      </c>
      <c r="J23" s="22" t="s">
        <v>15</v>
      </c>
      <c r="K23" s="22" t="s">
        <v>35</v>
      </c>
      <c r="L23" s="24" t="s">
        <v>36</v>
      </c>
      <c r="M23" s="22" t="s">
        <v>37</v>
      </c>
      <c r="N23" s="24" t="s">
        <v>38</v>
      </c>
      <c r="O23" s="24" t="s">
        <v>39</v>
      </c>
      <c r="P23" s="24" t="s">
        <v>40</v>
      </c>
      <c r="Q23" s="24" t="s">
        <v>41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 ht="14.25" customHeight="1">
      <c r="A24" s="25" t="s">
        <v>42</v>
      </c>
      <c r="B24" s="25" t="s">
        <v>43</v>
      </c>
      <c r="C24" s="25" t="s">
        <v>44</v>
      </c>
      <c r="D24" s="25" t="s">
        <v>45</v>
      </c>
      <c r="E24" s="25" t="s">
        <v>46</v>
      </c>
      <c r="F24" s="25" t="s">
        <v>47</v>
      </c>
      <c r="G24" s="26">
        <v>900000.0</v>
      </c>
      <c r="H24" s="26" t="s">
        <v>48</v>
      </c>
      <c r="I24" s="25" t="s">
        <v>48</v>
      </c>
      <c r="J24" s="27" t="s">
        <v>48</v>
      </c>
      <c r="K24" s="28">
        <v>20.0</v>
      </c>
      <c r="L24" s="27">
        <v>0.0</v>
      </c>
      <c r="M24" s="27" t="s">
        <v>49</v>
      </c>
      <c r="N24" s="27">
        <v>0.002</v>
      </c>
      <c r="O24" s="27" t="s">
        <v>50</v>
      </c>
      <c r="P24" s="27" t="s">
        <v>51</v>
      </c>
      <c r="Q24" s="29" t="s">
        <v>52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 ht="14.25" customHeight="1">
      <c r="A25" s="25" t="s">
        <v>53</v>
      </c>
      <c r="B25" s="25" t="s">
        <v>54</v>
      </c>
      <c r="C25" s="25" t="s">
        <v>55</v>
      </c>
      <c r="D25" s="25" t="s">
        <v>45</v>
      </c>
      <c r="E25" s="25" t="s">
        <v>56</v>
      </c>
      <c r="F25" s="25" t="s">
        <v>57</v>
      </c>
      <c r="G25" s="26">
        <v>4800000.0</v>
      </c>
      <c r="H25" s="26" t="s">
        <v>48</v>
      </c>
      <c r="I25" s="25" t="s">
        <v>48</v>
      </c>
      <c r="J25" s="27" t="s">
        <v>48</v>
      </c>
      <c r="K25" s="28">
        <v>0.8</v>
      </c>
      <c r="L25" s="27">
        <v>0.0</v>
      </c>
      <c r="M25" s="27" t="s">
        <v>49</v>
      </c>
      <c r="N25" s="27">
        <v>0.002</v>
      </c>
      <c r="O25" s="27" t="s">
        <v>58</v>
      </c>
      <c r="P25" s="27" t="s">
        <v>59</v>
      </c>
      <c r="Q25" s="29" t="s">
        <v>60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 ht="14.25" customHeight="1">
      <c r="A26" s="25" t="s">
        <v>53</v>
      </c>
      <c r="B26" s="25" t="s">
        <v>54</v>
      </c>
      <c r="C26" s="25" t="s">
        <v>55</v>
      </c>
      <c r="D26" s="25" t="s">
        <v>45</v>
      </c>
      <c r="E26" s="25" t="s">
        <v>56</v>
      </c>
      <c r="F26" s="25" t="s">
        <v>61</v>
      </c>
      <c r="G26" s="26">
        <v>4800000.0</v>
      </c>
      <c r="H26" s="26" t="s">
        <v>48</v>
      </c>
      <c r="I26" s="25" t="s">
        <v>48</v>
      </c>
      <c r="J26" s="27" t="s">
        <v>48</v>
      </c>
      <c r="K26" s="28">
        <v>0.8</v>
      </c>
      <c r="L26" s="27">
        <v>0.0</v>
      </c>
      <c r="M26" s="27" t="s">
        <v>49</v>
      </c>
      <c r="N26" s="27">
        <v>0.002</v>
      </c>
      <c r="O26" s="27" t="s">
        <v>58</v>
      </c>
      <c r="P26" s="27" t="s">
        <v>59</v>
      </c>
      <c r="Q26" s="29" t="s">
        <v>60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 ht="14.25" customHeight="1">
      <c r="A27" s="25" t="s">
        <v>53</v>
      </c>
      <c r="B27" s="25" t="s">
        <v>54</v>
      </c>
      <c r="C27" s="25" t="s">
        <v>44</v>
      </c>
      <c r="D27" s="25" t="s">
        <v>45</v>
      </c>
      <c r="E27" s="25" t="s">
        <v>56</v>
      </c>
      <c r="F27" s="25" t="s">
        <v>47</v>
      </c>
      <c r="G27" s="26">
        <v>4800000.0</v>
      </c>
      <c r="H27" s="26" t="s">
        <v>48</v>
      </c>
      <c r="I27" s="25" t="s">
        <v>48</v>
      </c>
      <c r="J27" s="27" t="s">
        <v>48</v>
      </c>
      <c r="K27" s="28">
        <v>0.8</v>
      </c>
      <c r="L27" s="27">
        <v>0.0</v>
      </c>
      <c r="M27" s="27" t="s">
        <v>49</v>
      </c>
      <c r="N27" s="27">
        <v>0.002</v>
      </c>
      <c r="O27" s="27" t="s">
        <v>62</v>
      </c>
      <c r="P27" s="27" t="s">
        <v>51</v>
      </c>
      <c r="Q27" s="29" t="s">
        <v>60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 ht="14.25" customHeight="1">
      <c r="A28" s="25" t="s">
        <v>42</v>
      </c>
      <c r="B28" s="25" t="s">
        <v>63</v>
      </c>
      <c r="C28" s="25" t="s">
        <v>55</v>
      </c>
      <c r="D28" s="25" t="s">
        <v>45</v>
      </c>
      <c r="E28" s="25" t="s">
        <v>64</v>
      </c>
      <c r="F28" s="25" t="s">
        <v>65</v>
      </c>
      <c r="G28" s="26">
        <v>4800000.0</v>
      </c>
      <c r="H28" s="26" t="s">
        <v>48</v>
      </c>
      <c r="I28" s="25" t="s">
        <v>48</v>
      </c>
      <c r="J28" s="27" t="s">
        <v>48</v>
      </c>
      <c r="K28" s="28">
        <v>1.0</v>
      </c>
      <c r="L28" s="27">
        <v>0.0</v>
      </c>
      <c r="M28" s="27" t="s">
        <v>49</v>
      </c>
      <c r="N28" s="27">
        <v>0.002</v>
      </c>
      <c r="O28" s="27" t="s">
        <v>66</v>
      </c>
      <c r="P28" s="27" t="s">
        <v>51</v>
      </c>
      <c r="Q28" s="29" t="s">
        <v>67</v>
      </c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 ht="14.25" customHeight="1">
      <c r="A29" s="25" t="s">
        <v>42</v>
      </c>
      <c r="B29" s="25" t="s">
        <v>63</v>
      </c>
      <c r="C29" s="25" t="s">
        <v>44</v>
      </c>
      <c r="D29" s="25" t="s">
        <v>45</v>
      </c>
      <c r="E29" s="25" t="s">
        <v>64</v>
      </c>
      <c r="F29" s="25" t="s">
        <v>47</v>
      </c>
      <c r="G29" s="26">
        <v>4800000.0</v>
      </c>
      <c r="H29" s="26" t="s">
        <v>48</v>
      </c>
      <c r="I29" s="25" t="s">
        <v>48</v>
      </c>
      <c r="J29" s="27" t="s">
        <v>48</v>
      </c>
      <c r="K29" s="28">
        <v>1.0</v>
      </c>
      <c r="L29" s="27">
        <v>0.0</v>
      </c>
      <c r="M29" s="27" t="s">
        <v>49</v>
      </c>
      <c r="N29" s="27">
        <v>0.002</v>
      </c>
      <c r="O29" s="27" t="s">
        <v>68</v>
      </c>
      <c r="P29" s="27" t="s">
        <v>51</v>
      </c>
      <c r="Q29" s="29" t="s">
        <v>69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 ht="14.25" customHeight="1">
      <c r="A30" s="25" t="s">
        <v>42</v>
      </c>
      <c r="B30" s="25" t="s">
        <v>63</v>
      </c>
      <c r="C30" s="25" t="s">
        <v>44</v>
      </c>
      <c r="D30" s="25" t="s">
        <v>45</v>
      </c>
      <c r="E30" s="25" t="s">
        <v>48</v>
      </c>
      <c r="F30" s="25" t="s">
        <v>47</v>
      </c>
      <c r="G30" s="26">
        <v>4800000.0</v>
      </c>
      <c r="H30" s="26" t="s">
        <v>48</v>
      </c>
      <c r="I30" s="25" t="s">
        <v>48</v>
      </c>
      <c r="J30" s="27" t="s">
        <v>48</v>
      </c>
      <c r="K30" s="28">
        <v>3.0</v>
      </c>
      <c r="L30" s="27">
        <v>0.0</v>
      </c>
      <c r="M30" s="27" t="s">
        <v>70</v>
      </c>
      <c r="N30" s="27">
        <v>0.0</v>
      </c>
      <c r="O30" s="27" t="s">
        <v>71</v>
      </c>
      <c r="P30" s="27" t="s">
        <v>51</v>
      </c>
      <c r="Q30" s="29" t="s">
        <v>72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 ht="14.25" customHeight="1">
      <c r="A31" s="25" t="s">
        <v>53</v>
      </c>
      <c r="B31" s="25" t="s">
        <v>73</v>
      </c>
      <c r="C31" s="25" t="s">
        <v>55</v>
      </c>
      <c r="D31" s="25" t="s">
        <v>45</v>
      </c>
      <c r="E31" s="25" t="s">
        <v>74</v>
      </c>
      <c r="F31" s="25" t="s">
        <v>75</v>
      </c>
      <c r="G31" s="26">
        <v>1000000.0</v>
      </c>
      <c r="H31" s="26" t="s">
        <v>48</v>
      </c>
      <c r="I31" s="25" t="s">
        <v>48</v>
      </c>
      <c r="J31" s="27" t="s">
        <v>48</v>
      </c>
      <c r="K31" s="28">
        <v>1.2</v>
      </c>
      <c r="L31" s="27">
        <v>0.0</v>
      </c>
      <c r="M31" s="27" t="s">
        <v>49</v>
      </c>
      <c r="N31" s="27">
        <v>0.002</v>
      </c>
      <c r="O31" s="27" t="s">
        <v>76</v>
      </c>
      <c r="P31" s="27" t="s">
        <v>77</v>
      </c>
      <c r="Q31" s="29" t="s">
        <v>60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 ht="14.25" customHeight="1">
      <c r="A32" s="25" t="s">
        <v>53</v>
      </c>
      <c r="B32" s="25" t="s">
        <v>73</v>
      </c>
      <c r="C32" s="25" t="s">
        <v>55</v>
      </c>
      <c r="D32" s="25" t="s">
        <v>45</v>
      </c>
      <c r="E32" s="25" t="s">
        <v>74</v>
      </c>
      <c r="F32" s="25" t="s">
        <v>78</v>
      </c>
      <c r="G32" s="26">
        <v>1000000.0</v>
      </c>
      <c r="H32" s="26" t="s">
        <v>48</v>
      </c>
      <c r="I32" s="25" t="s">
        <v>48</v>
      </c>
      <c r="J32" s="27" t="s">
        <v>48</v>
      </c>
      <c r="K32" s="28">
        <v>1.2</v>
      </c>
      <c r="L32" s="27">
        <v>0.0</v>
      </c>
      <c r="M32" s="27" t="s">
        <v>49</v>
      </c>
      <c r="N32" s="27">
        <v>0.002</v>
      </c>
      <c r="O32" s="27" t="s">
        <v>76</v>
      </c>
      <c r="P32" s="27" t="s">
        <v>77</v>
      </c>
      <c r="Q32" s="29" t="s">
        <v>60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 ht="14.25" customHeight="1">
      <c r="A33" s="25" t="s">
        <v>53</v>
      </c>
      <c r="B33" s="25" t="s">
        <v>73</v>
      </c>
      <c r="C33" s="25" t="s">
        <v>55</v>
      </c>
      <c r="D33" s="25" t="s">
        <v>45</v>
      </c>
      <c r="E33" s="25" t="s">
        <v>74</v>
      </c>
      <c r="F33" s="25" t="s">
        <v>79</v>
      </c>
      <c r="G33" s="26">
        <v>1000000.0</v>
      </c>
      <c r="H33" s="26" t="s">
        <v>48</v>
      </c>
      <c r="I33" s="25" t="s">
        <v>48</v>
      </c>
      <c r="J33" s="27" t="s">
        <v>48</v>
      </c>
      <c r="K33" s="28">
        <v>1.2</v>
      </c>
      <c r="L33" s="27">
        <v>0.0</v>
      </c>
      <c r="M33" s="27" t="s">
        <v>49</v>
      </c>
      <c r="N33" s="27">
        <v>0.002</v>
      </c>
      <c r="O33" s="27" t="s">
        <v>76</v>
      </c>
      <c r="P33" s="27" t="s">
        <v>77</v>
      </c>
      <c r="Q33" s="29" t="s">
        <v>60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 ht="14.25" customHeight="1">
      <c r="A34" s="25" t="s">
        <v>53</v>
      </c>
      <c r="B34" s="25" t="s">
        <v>73</v>
      </c>
      <c r="C34" s="25" t="s">
        <v>55</v>
      </c>
      <c r="D34" s="25" t="s">
        <v>45</v>
      </c>
      <c r="E34" s="25" t="s">
        <v>74</v>
      </c>
      <c r="F34" s="25" t="s">
        <v>80</v>
      </c>
      <c r="G34" s="26">
        <v>1000000.0</v>
      </c>
      <c r="H34" s="26" t="s">
        <v>48</v>
      </c>
      <c r="I34" s="25" t="s">
        <v>48</v>
      </c>
      <c r="J34" s="27" t="s">
        <v>48</v>
      </c>
      <c r="K34" s="28">
        <v>1.2</v>
      </c>
      <c r="L34" s="27">
        <v>0.0</v>
      </c>
      <c r="M34" s="27" t="s">
        <v>49</v>
      </c>
      <c r="N34" s="27">
        <v>0.002</v>
      </c>
      <c r="O34" s="27" t="s">
        <v>81</v>
      </c>
      <c r="P34" s="27" t="s">
        <v>77</v>
      </c>
      <c r="Q34" s="29" t="s">
        <v>60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 ht="14.25" customHeight="1">
      <c r="A35" s="25" t="s">
        <v>53</v>
      </c>
      <c r="B35" s="25" t="s">
        <v>73</v>
      </c>
      <c r="C35" s="25" t="s">
        <v>55</v>
      </c>
      <c r="D35" s="25" t="s">
        <v>45</v>
      </c>
      <c r="E35" s="25" t="s">
        <v>74</v>
      </c>
      <c r="F35" s="25" t="s">
        <v>82</v>
      </c>
      <c r="G35" s="26">
        <v>1000000.0</v>
      </c>
      <c r="H35" s="26" t="s">
        <v>48</v>
      </c>
      <c r="I35" s="25" t="s">
        <v>48</v>
      </c>
      <c r="J35" s="27" t="s">
        <v>48</v>
      </c>
      <c r="K35" s="28">
        <v>1.2</v>
      </c>
      <c r="L35" s="27">
        <v>0.0</v>
      </c>
      <c r="M35" s="27" t="s">
        <v>49</v>
      </c>
      <c r="N35" s="27">
        <v>0.002</v>
      </c>
      <c r="O35" s="27" t="s">
        <v>76</v>
      </c>
      <c r="P35" s="27" t="s">
        <v>77</v>
      </c>
      <c r="Q35" s="29" t="s">
        <v>60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 ht="14.25" customHeight="1">
      <c r="A36" s="25" t="s">
        <v>53</v>
      </c>
      <c r="B36" s="25" t="s">
        <v>73</v>
      </c>
      <c r="C36" s="25" t="s">
        <v>55</v>
      </c>
      <c r="D36" s="25" t="s">
        <v>45</v>
      </c>
      <c r="E36" s="25" t="s">
        <v>74</v>
      </c>
      <c r="F36" s="25" t="s">
        <v>83</v>
      </c>
      <c r="G36" s="26">
        <v>1000000.0</v>
      </c>
      <c r="H36" s="26" t="s">
        <v>48</v>
      </c>
      <c r="I36" s="25" t="s">
        <v>48</v>
      </c>
      <c r="J36" s="27" t="s">
        <v>48</v>
      </c>
      <c r="K36" s="28">
        <v>1.2</v>
      </c>
      <c r="L36" s="27">
        <v>0.0</v>
      </c>
      <c r="M36" s="27" t="s">
        <v>49</v>
      </c>
      <c r="N36" s="27">
        <v>0.002</v>
      </c>
      <c r="O36" s="27" t="s">
        <v>76</v>
      </c>
      <c r="P36" s="27" t="s">
        <v>77</v>
      </c>
      <c r="Q36" s="29" t="s">
        <v>60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 ht="14.25" customHeight="1">
      <c r="A37" s="25" t="s">
        <v>53</v>
      </c>
      <c r="B37" s="25" t="s">
        <v>73</v>
      </c>
      <c r="C37" s="25" t="s">
        <v>55</v>
      </c>
      <c r="D37" s="25" t="s">
        <v>45</v>
      </c>
      <c r="E37" s="25" t="s">
        <v>74</v>
      </c>
      <c r="F37" s="25" t="s">
        <v>84</v>
      </c>
      <c r="G37" s="26">
        <v>1000000.0</v>
      </c>
      <c r="H37" s="26" t="s">
        <v>48</v>
      </c>
      <c r="I37" s="25" t="s">
        <v>48</v>
      </c>
      <c r="J37" s="27" t="s">
        <v>48</v>
      </c>
      <c r="K37" s="28">
        <v>1.2</v>
      </c>
      <c r="L37" s="27">
        <v>0.0</v>
      </c>
      <c r="M37" s="27" t="s">
        <v>49</v>
      </c>
      <c r="N37" s="27">
        <v>0.002</v>
      </c>
      <c r="O37" s="27" t="s">
        <v>76</v>
      </c>
      <c r="P37" s="27" t="s">
        <v>77</v>
      </c>
      <c r="Q37" s="29" t="s">
        <v>60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 ht="14.25" customHeight="1">
      <c r="A38" s="25" t="s">
        <v>53</v>
      </c>
      <c r="B38" s="25" t="s">
        <v>73</v>
      </c>
      <c r="C38" s="25" t="s">
        <v>44</v>
      </c>
      <c r="D38" s="25" t="s">
        <v>45</v>
      </c>
      <c r="E38" s="25" t="s">
        <v>74</v>
      </c>
      <c r="F38" s="25" t="s">
        <v>47</v>
      </c>
      <c r="G38" s="26">
        <v>1000000.0</v>
      </c>
      <c r="H38" s="26" t="s">
        <v>48</v>
      </c>
      <c r="I38" s="25" t="s">
        <v>48</v>
      </c>
      <c r="J38" s="27" t="s">
        <v>48</v>
      </c>
      <c r="K38" s="28">
        <v>1.2</v>
      </c>
      <c r="L38" s="27">
        <v>0.0</v>
      </c>
      <c r="M38" s="27" t="s">
        <v>49</v>
      </c>
      <c r="N38" s="27">
        <v>0.002</v>
      </c>
      <c r="O38" s="27" t="s">
        <v>76</v>
      </c>
      <c r="P38" s="27" t="s">
        <v>85</v>
      </c>
      <c r="Q38" s="29" t="s">
        <v>60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 ht="14.25" customHeight="1">
      <c r="A39" s="25" t="s">
        <v>42</v>
      </c>
      <c r="B39" s="25" t="s">
        <v>86</v>
      </c>
      <c r="C39" s="25" t="s">
        <v>44</v>
      </c>
      <c r="D39" s="25" t="s">
        <v>45</v>
      </c>
      <c r="E39" s="25" t="s">
        <v>87</v>
      </c>
      <c r="F39" s="25" t="s">
        <v>47</v>
      </c>
      <c r="G39" s="26">
        <v>400000.0</v>
      </c>
      <c r="H39" s="26" t="s">
        <v>48</v>
      </c>
      <c r="I39" s="25" t="s">
        <v>48</v>
      </c>
      <c r="J39" s="27" t="s">
        <v>48</v>
      </c>
      <c r="K39" s="28">
        <v>1.8</v>
      </c>
      <c r="L39" s="27">
        <v>0.0</v>
      </c>
      <c r="M39" s="27" t="s">
        <v>49</v>
      </c>
      <c r="N39" s="27">
        <v>0.002</v>
      </c>
      <c r="O39" s="27" t="s">
        <v>88</v>
      </c>
      <c r="P39" s="27" t="s">
        <v>89</v>
      </c>
      <c r="Q39" s="29" t="s">
        <v>90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 ht="14.25" customHeight="1">
      <c r="A40" s="25" t="s">
        <v>53</v>
      </c>
      <c r="B40" s="25" t="s">
        <v>91</v>
      </c>
      <c r="C40" s="25" t="s">
        <v>55</v>
      </c>
      <c r="D40" s="25" t="s">
        <v>45</v>
      </c>
      <c r="E40" s="25" t="s">
        <v>92</v>
      </c>
      <c r="F40" s="25" t="s">
        <v>93</v>
      </c>
      <c r="G40" s="26">
        <v>400000.0</v>
      </c>
      <c r="H40" s="26" t="s">
        <v>48</v>
      </c>
      <c r="I40" s="25" t="s">
        <v>48</v>
      </c>
      <c r="J40" s="27" t="s">
        <v>48</v>
      </c>
      <c r="K40" s="28">
        <v>1.0</v>
      </c>
      <c r="L40" s="27">
        <v>0.0</v>
      </c>
      <c r="M40" s="27" t="s">
        <v>49</v>
      </c>
      <c r="N40" s="27">
        <v>0.002</v>
      </c>
      <c r="O40" s="27" t="s">
        <v>94</v>
      </c>
      <c r="P40" s="27" t="s">
        <v>95</v>
      </c>
      <c r="Q40" s="29" t="s">
        <v>60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 ht="14.25" customHeight="1">
      <c r="A41" s="25" t="s">
        <v>53</v>
      </c>
      <c r="B41" s="25" t="s">
        <v>91</v>
      </c>
      <c r="C41" s="25" t="s">
        <v>55</v>
      </c>
      <c r="D41" s="25" t="s">
        <v>45</v>
      </c>
      <c r="E41" s="25" t="s">
        <v>92</v>
      </c>
      <c r="F41" s="25" t="s">
        <v>96</v>
      </c>
      <c r="G41" s="26">
        <v>400000.0</v>
      </c>
      <c r="H41" s="26" t="s">
        <v>48</v>
      </c>
      <c r="I41" s="25" t="s">
        <v>48</v>
      </c>
      <c r="J41" s="27" t="s">
        <v>48</v>
      </c>
      <c r="K41" s="28">
        <v>1.0</v>
      </c>
      <c r="L41" s="27">
        <v>0.0</v>
      </c>
      <c r="M41" s="27" t="s">
        <v>49</v>
      </c>
      <c r="N41" s="27">
        <v>0.002</v>
      </c>
      <c r="O41" s="27" t="s">
        <v>94</v>
      </c>
      <c r="P41" s="27" t="s">
        <v>95</v>
      </c>
      <c r="Q41" s="29" t="s">
        <v>60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 ht="14.25" customHeight="1">
      <c r="A42" s="25" t="s">
        <v>53</v>
      </c>
      <c r="B42" s="25" t="s">
        <v>91</v>
      </c>
      <c r="C42" s="25" t="s">
        <v>44</v>
      </c>
      <c r="D42" s="25" t="s">
        <v>45</v>
      </c>
      <c r="E42" s="25" t="s">
        <v>92</v>
      </c>
      <c r="F42" s="25" t="s">
        <v>47</v>
      </c>
      <c r="G42" s="26">
        <v>400000.0</v>
      </c>
      <c r="H42" s="26" t="s">
        <v>48</v>
      </c>
      <c r="I42" s="25" t="s">
        <v>48</v>
      </c>
      <c r="J42" s="27" t="s">
        <v>48</v>
      </c>
      <c r="K42" s="28">
        <v>1.0</v>
      </c>
      <c r="L42" s="27">
        <v>0.0</v>
      </c>
      <c r="M42" s="27" t="s">
        <v>49</v>
      </c>
      <c r="N42" s="27">
        <v>0.002</v>
      </c>
      <c r="O42" s="27" t="s">
        <v>94</v>
      </c>
      <c r="P42" s="27" t="s">
        <v>97</v>
      </c>
      <c r="Q42" s="29" t="s">
        <v>60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 ht="14.25" customHeight="1">
      <c r="A43" s="25" t="s">
        <v>42</v>
      </c>
      <c r="B43" s="25" t="s">
        <v>98</v>
      </c>
      <c r="C43" s="25" t="s">
        <v>55</v>
      </c>
      <c r="D43" s="25" t="s">
        <v>45</v>
      </c>
      <c r="E43" s="25" t="s">
        <v>99</v>
      </c>
      <c r="F43" s="25" t="s">
        <v>100</v>
      </c>
      <c r="G43" s="26">
        <v>700000.0</v>
      </c>
      <c r="H43" s="26" t="s">
        <v>48</v>
      </c>
      <c r="I43" s="25" t="s">
        <v>48</v>
      </c>
      <c r="J43" s="27" t="s">
        <v>48</v>
      </c>
      <c r="K43" s="28">
        <v>1.5</v>
      </c>
      <c r="L43" s="27">
        <v>0.0</v>
      </c>
      <c r="M43" s="27" t="s">
        <v>49</v>
      </c>
      <c r="N43" s="27">
        <v>0.002</v>
      </c>
      <c r="O43" s="27" t="s">
        <v>101</v>
      </c>
      <c r="P43" s="27" t="s">
        <v>102</v>
      </c>
      <c r="Q43" s="29" t="s">
        <v>60</v>
      </c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 ht="14.25" customHeight="1">
      <c r="A44" s="25" t="s">
        <v>42</v>
      </c>
      <c r="B44" s="25" t="s">
        <v>98</v>
      </c>
      <c r="C44" s="25" t="s">
        <v>44</v>
      </c>
      <c r="D44" s="25" t="s">
        <v>45</v>
      </c>
      <c r="E44" s="25" t="s">
        <v>99</v>
      </c>
      <c r="F44" s="25" t="s">
        <v>47</v>
      </c>
      <c r="G44" s="26">
        <v>700000.0</v>
      </c>
      <c r="H44" s="26" t="s">
        <v>48</v>
      </c>
      <c r="I44" s="25" t="s">
        <v>48</v>
      </c>
      <c r="J44" s="27" t="s">
        <v>48</v>
      </c>
      <c r="K44" s="28">
        <v>1.5</v>
      </c>
      <c r="L44" s="27">
        <v>0.0</v>
      </c>
      <c r="M44" s="27" t="s">
        <v>49</v>
      </c>
      <c r="N44" s="27">
        <v>0.002</v>
      </c>
      <c r="O44" s="27" t="s">
        <v>103</v>
      </c>
      <c r="P44" s="27" t="s">
        <v>104</v>
      </c>
      <c r="Q44" s="29" t="s">
        <v>105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 ht="14.25" customHeight="1">
      <c r="A45" s="25" t="s">
        <v>42</v>
      </c>
      <c r="B45" s="25" t="s">
        <v>106</v>
      </c>
      <c r="C45" s="25" t="s">
        <v>44</v>
      </c>
      <c r="D45" s="25" t="s">
        <v>45</v>
      </c>
      <c r="E45" s="25" t="s">
        <v>107</v>
      </c>
      <c r="F45" s="25" t="s">
        <v>47</v>
      </c>
      <c r="G45" s="26">
        <v>750000.0</v>
      </c>
      <c r="H45" s="26" t="s">
        <v>48</v>
      </c>
      <c r="I45" s="25" t="s">
        <v>48</v>
      </c>
      <c r="J45" s="27" t="s">
        <v>48</v>
      </c>
      <c r="K45" s="28">
        <v>2.0</v>
      </c>
      <c r="L45" s="27">
        <v>0.0</v>
      </c>
      <c r="M45" s="27" t="s">
        <v>49</v>
      </c>
      <c r="N45" s="27">
        <v>0.002</v>
      </c>
      <c r="O45" s="27" t="s">
        <v>108</v>
      </c>
      <c r="P45" s="27" t="s">
        <v>109</v>
      </c>
      <c r="Q45" s="29" t="s">
        <v>110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 ht="14.25" customHeight="1">
      <c r="A46" s="25" t="s">
        <v>53</v>
      </c>
      <c r="B46" s="25" t="s">
        <v>111</v>
      </c>
      <c r="C46" s="25" t="s">
        <v>55</v>
      </c>
      <c r="D46" s="25" t="s">
        <v>45</v>
      </c>
      <c r="E46" s="25" t="s">
        <v>112</v>
      </c>
      <c r="F46" s="25" t="s">
        <v>113</v>
      </c>
      <c r="G46" s="26">
        <v>1237500.0</v>
      </c>
      <c r="H46" s="26" t="s">
        <v>48</v>
      </c>
      <c r="I46" s="25" t="s">
        <v>48</v>
      </c>
      <c r="J46" s="27" t="s">
        <v>48</v>
      </c>
      <c r="K46" s="28">
        <v>0.5</v>
      </c>
      <c r="L46" s="27">
        <v>0.0</v>
      </c>
      <c r="M46" s="27" t="s">
        <v>49</v>
      </c>
      <c r="N46" s="27">
        <v>0.002</v>
      </c>
      <c r="O46" s="27" t="s">
        <v>114</v>
      </c>
      <c r="P46" s="27" t="s">
        <v>115</v>
      </c>
      <c r="Q46" s="29" t="s">
        <v>60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 ht="14.25" customHeight="1">
      <c r="A47" s="25" t="s">
        <v>53</v>
      </c>
      <c r="B47" s="25" t="s">
        <v>111</v>
      </c>
      <c r="C47" s="25" t="s">
        <v>55</v>
      </c>
      <c r="D47" s="25" t="s">
        <v>45</v>
      </c>
      <c r="E47" s="25" t="s">
        <v>112</v>
      </c>
      <c r="F47" s="25" t="s">
        <v>116</v>
      </c>
      <c r="G47" s="26">
        <v>1237500.0</v>
      </c>
      <c r="H47" s="26" t="s">
        <v>48</v>
      </c>
      <c r="I47" s="25" t="s">
        <v>48</v>
      </c>
      <c r="J47" s="27" t="s">
        <v>48</v>
      </c>
      <c r="K47" s="28">
        <v>0.5</v>
      </c>
      <c r="L47" s="27">
        <v>0.0</v>
      </c>
      <c r="M47" s="27" t="s">
        <v>49</v>
      </c>
      <c r="N47" s="27">
        <v>0.002</v>
      </c>
      <c r="O47" s="27" t="s">
        <v>114</v>
      </c>
      <c r="P47" s="27" t="s">
        <v>115</v>
      </c>
      <c r="Q47" s="29" t="s">
        <v>60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 ht="14.25" customHeight="1">
      <c r="A48" s="25" t="s">
        <v>53</v>
      </c>
      <c r="B48" s="25" t="s">
        <v>111</v>
      </c>
      <c r="C48" s="25" t="s">
        <v>55</v>
      </c>
      <c r="D48" s="25" t="s">
        <v>45</v>
      </c>
      <c r="E48" s="25" t="s">
        <v>112</v>
      </c>
      <c r="F48" s="25" t="s">
        <v>117</v>
      </c>
      <c r="G48" s="26">
        <v>1237500.0</v>
      </c>
      <c r="H48" s="26" t="s">
        <v>48</v>
      </c>
      <c r="I48" s="25" t="s">
        <v>48</v>
      </c>
      <c r="J48" s="27" t="s">
        <v>48</v>
      </c>
      <c r="K48" s="28">
        <v>0.5</v>
      </c>
      <c r="L48" s="27">
        <v>0.0</v>
      </c>
      <c r="M48" s="27" t="s">
        <v>49</v>
      </c>
      <c r="N48" s="27">
        <v>0.002</v>
      </c>
      <c r="O48" s="27" t="s">
        <v>114</v>
      </c>
      <c r="P48" s="27" t="s">
        <v>118</v>
      </c>
      <c r="Q48" s="29" t="s">
        <v>60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 ht="14.25" customHeight="1">
      <c r="A49" s="25" t="s">
        <v>53</v>
      </c>
      <c r="B49" s="25" t="s">
        <v>111</v>
      </c>
      <c r="C49" s="25" t="s">
        <v>55</v>
      </c>
      <c r="D49" s="25" t="s">
        <v>45</v>
      </c>
      <c r="E49" s="25" t="s">
        <v>112</v>
      </c>
      <c r="F49" s="25" t="s">
        <v>119</v>
      </c>
      <c r="G49" s="26">
        <v>1237500.0</v>
      </c>
      <c r="H49" s="26" t="s">
        <v>48</v>
      </c>
      <c r="I49" s="25" t="s">
        <v>48</v>
      </c>
      <c r="J49" s="27" t="s">
        <v>48</v>
      </c>
      <c r="K49" s="28">
        <v>0.5</v>
      </c>
      <c r="L49" s="27">
        <v>0.0</v>
      </c>
      <c r="M49" s="27" t="s">
        <v>49</v>
      </c>
      <c r="N49" s="27">
        <v>0.002</v>
      </c>
      <c r="O49" s="27" t="s">
        <v>114</v>
      </c>
      <c r="P49" s="27" t="s">
        <v>118</v>
      </c>
      <c r="Q49" s="29" t="s">
        <v>60</v>
      </c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 ht="14.25" customHeight="1">
      <c r="A50" s="25" t="s">
        <v>53</v>
      </c>
      <c r="B50" s="25" t="s">
        <v>111</v>
      </c>
      <c r="C50" s="25" t="s">
        <v>55</v>
      </c>
      <c r="D50" s="25" t="s">
        <v>45</v>
      </c>
      <c r="E50" s="25" t="s">
        <v>112</v>
      </c>
      <c r="F50" s="25" t="s">
        <v>120</v>
      </c>
      <c r="G50" s="26">
        <v>1237500.0</v>
      </c>
      <c r="H50" s="26" t="s">
        <v>48</v>
      </c>
      <c r="I50" s="25" t="s">
        <v>48</v>
      </c>
      <c r="J50" s="27" t="s">
        <v>48</v>
      </c>
      <c r="K50" s="28">
        <v>0.5</v>
      </c>
      <c r="L50" s="27">
        <v>0.0</v>
      </c>
      <c r="M50" s="27" t="s">
        <v>49</v>
      </c>
      <c r="N50" s="27">
        <v>0.002</v>
      </c>
      <c r="O50" s="27" t="s">
        <v>114</v>
      </c>
      <c r="P50" s="27" t="s">
        <v>118</v>
      </c>
      <c r="Q50" s="29" t="s">
        <v>60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 ht="14.25" customHeight="1">
      <c r="A51" s="25" t="s">
        <v>53</v>
      </c>
      <c r="B51" s="25" t="s">
        <v>111</v>
      </c>
      <c r="C51" s="25" t="s">
        <v>44</v>
      </c>
      <c r="D51" s="25" t="s">
        <v>45</v>
      </c>
      <c r="E51" s="25" t="s">
        <v>112</v>
      </c>
      <c r="F51" s="25" t="s">
        <v>47</v>
      </c>
      <c r="G51" s="26">
        <v>1237500.0</v>
      </c>
      <c r="H51" s="26" t="s">
        <v>48</v>
      </c>
      <c r="I51" s="25" t="s">
        <v>48</v>
      </c>
      <c r="J51" s="27" t="s">
        <v>48</v>
      </c>
      <c r="K51" s="28">
        <v>0.5</v>
      </c>
      <c r="L51" s="27">
        <v>0.0</v>
      </c>
      <c r="M51" s="27" t="s">
        <v>49</v>
      </c>
      <c r="N51" s="27">
        <v>0.002</v>
      </c>
      <c r="O51" s="27" t="s">
        <v>114</v>
      </c>
      <c r="P51" s="27" t="s">
        <v>51</v>
      </c>
      <c r="Q51" s="29" t="s">
        <v>60</v>
      </c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 ht="14.25" customHeight="1">
      <c r="A52" s="25" t="s">
        <v>53</v>
      </c>
      <c r="B52" s="25" t="s">
        <v>121</v>
      </c>
      <c r="C52" s="25" t="s">
        <v>55</v>
      </c>
      <c r="D52" s="25" t="s">
        <v>45</v>
      </c>
      <c r="E52" s="25" t="s">
        <v>122</v>
      </c>
      <c r="F52" s="25" t="s">
        <v>123</v>
      </c>
      <c r="G52" s="26">
        <v>440000.0</v>
      </c>
      <c r="H52" s="26" t="s">
        <v>48</v>
      </c>
      <c r="I52" s="25" t="s">
        <v>48</v>
      </c>
      <c r="J52" s="27" t="s">
        <v>48</v>
      </c>
      <c r="K52" s="28">
        <v>1.0</v>
      </c>
      <c r="L52" s="27">
        <v>0.0</v>
      </c>
      <c r="M52" s="27" t="s">
        <v>49</v>
      </c>
      <c r="N52" s="27">
        <v>0.002</v>
      </c>
      <c r="O52" s="27" t="s">
        <v>124</v>
      </c>
      <c r="P52" s="27" t="s">
        <v>125</v>
      </c>
      <c r="Q52" s="29" t="s">
        <v>126</v>
      </c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 ht="14.25" customHeight="1">
      <c r="A53" s="25" t="s">
        <v>53</v>
      </c>
      <c r="B53" s="25" t="s">
        <v>121</v>
      </c>
      <c r="C53" s="25" t="s">
        <v>55</v>
      </c>
      <c r="D53" s="25" t="s">
        <v>45</v>
      </c>
      <c r="E53" s="25" t="s">
        <v>122</v>
      </c>
      <c r="F53" s="25" t="s">
        <v>127</v>
      </c>
      <c r="G53" s="26">
        <v>440000.0</v>
      </c>
      <c r="H53" s="26" t="s">
        <v>48</v>
      </c>
      <c r="I53" s="25" t="s">
        <v>48</v>
      </c>
      <c r="J53" s="27" t="s">
        <v>48</v>
      </c>
      <c r="K53" s="28">
        <v>1.0</v>
      </c>
      <c r="L53" s="27">
        <v>0.0</v>
      </c>
      <c r="M53" s="27" t="s">
        <v>49</v>
      </c>
      <c r="N53" s="27">
        <v>0.002</v>
      </c>
      <c r="O53" s="27" t="s">
        <v>124</v>
      </c>
      <c r="P53" s="27" t="s">
        <v>128</v>
      </c>
      <c r="Q53" s="29" t="s">
        <v>129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 ht="14.25" customHeight="1">
      <c r="A54" s="25" t="s">
        <v>53</v>
      </c>
      <c r="B54" s="25" t="s">
        <v>121</v>
      </c>
      <c r="C54" s="25" t="s">
        <v>55</v>
      </c>
      <c r="D54" s="25" t="s">
        <v>45</v>
      </c>
      <c r="E54" s="25" t="s">
        <v>122</v>
      </c>
      <c r="F54" s="25" t="s">
        <v>130</v>
      </c>
      <c r="G54" s="26">
        <v>440000.0</v>
      </c>
      <c r="H54" s="26" t="s">
        <v>48</v>
      </c>
      <c r="I54" s="25" t="s">
        <v>48</v>
      </c>
      <c r="J54" s="27" t="s">
        <v>48</v>
      </c>
      <c r="K54" s="28">
        <v>1.0</v>
      </c>
      <c r="L54" s="27">
        <v>0.0</v>
      </c>
      <c r="M54" s="27" t="s">
        <v>49</v>
      </c>
      <c r="N54" s="27">
        <v>0.002</v>
      </c>
      <c r="O54" s="27" t="s">
        <v>131</v>
      </c>
      <c r="P54" s="27" t="s">
        <v>132</v>
      </c>
      <c r="Q54" s="29" t="s">
        <v>133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 ht="14.25" customHeight="1">
      <c r="A55" s="25" t="s">
        <v>53</v>
      </c>
      <c r="B55" s="25" t="s">
        <v>121</v>
      </c>
      <c r="C55" s="25" t="s">
        <v>55</v>
      </c>
      <c r="D55" s="25" t="s">
        <v>45</v>
      </c>
      <c r="E55" s="25" t="s">
        <v>122</v>
      </c>
      <c r="F55" s="25" t="s">
        <v>134</v>
      </c>
      <c r="G55" s="26">
        <v>440000.0</v>
      </c>
      <c r="H55" s="26" t="s">
        <v>48</v>
      </c>
      <c r="I55" s="25" t="s">
        <v>48</v>
      </c>
      <c r="J55" s="27" t="s">
        <v>48</v>
      </c>
      <c r="K55" s="28">
        <v>1.0</v>
      </c>
      <c r="L55" s="27">
        <v>0.0</v>
      </c>
      <c r="M55" s="27" t="s">
        <v>49</v>
      </c>
      <c r="N55" s="27">
        <v>0.002</v>
      </c>
      <c r="O55" s="27" t="s">
        <v>124</v>
      </c>
      <c r="P55" s="27" t="s">
        <v>128</v>
      </c>
      <c r="Q55" s="29" t="s">
        <v>60</v>
      </c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 ht="14.25" customHeight="1">
      <c r="A56" s="25" t="s">
        <v>53</v>
      </c>
      <c r="B56" s="25" t="s">
        <v>121</v>
      </c>
      <c r="C56" s="25" t="s">
        <v>44</v>
      </c>
      <c r="D56" s="25" t="s">
        <v>45</v>
      </c>
      <c r="E56" s="25" t="s">
        <v>122</v>
      </c>
      <c r="F56" s="25" t="s">
        <v>47</v>
      </c>
      <c r="G56" s="26">
        <v>440000.0</v>
      </c>
      <c r="H56" s="26" t="s">
        <v>48</v>
      </c>
      <c r="I56" s="25" t="s">
        <v>48</v>
      </c>
      <c r="J56" s="27" t="s">
        <v>48</v>
      </c>
      <c r="K56" s="28">
        <v>1.0</v>
      </c>
      <c r="L56" s="27">
        <v>0.0</v>
      </c>
      <c r="M56" s="27" t="s">
        <v>49</v>
      </c>
      <c r="N56" s="27">
        <v>0.002</v>
      </c>
      <c r="O56" s="27" t="s">
        <v>124</v>
      </c>
      <c r="P56" s="27" t="s">
        <v>135</v>
      </c>
      <c r="Q56" s="29" t="s">
        <v>136</v>
      </c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 ht="14.25" customHeight="1">
      <c r="A57" s="25" t="s">
        <v>42</v>
      </c>
      <c r="B57" s="25" t="s">
        <v>137</v>
      </c>
      <c r="C57" s="25" t="s">
        <v>44</v>
      </c>
      <c r="D57" s="25" t="s">
        <v>45</v>
      </c>
      <c r="E57" s="25" t="s">
        <v>138</v>
      </c>
      <c r="F57" s="25" t="s">
        <v>47</v>
      </c>
      <c r="G57" s="26">
        <v>950000.0</v>
      </c>
      <c r="H57" s="26" t="s">
        <v>48</v>
      </c>
      <c r="I57" s="25" t="s">
        <v>48</v>
      </c>
      <c r="J57" s="27" t="s">
        <v>48</v>
      </c>
      <c r="K57" s="28">
        <v>10.0</v>
      </c>
      <c r="L57" s="27">
        <v>0.0</v>
      </c>
      <c r="M57" s="27" t="s">
        <v>49</v>
      </c>
      <c r="N57" s="27">
        <v>0.002</v>
      </c>
      <c r="O57" s="27" t="s">
        <v>139</v>
      </c>
      <c r="P57" s="27" t="s">
        <v>140</v>
      </c>
      <c r="Q57" s="29" t="s">
        <v>141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 ht="14.25" customHeight="1">
      <c r="A58" s="25" t="s">
        <v>42</v>
      </c>
      <c r="B58" s="25" t="s">
        <v>142</v>
      </c>
      <c r="C58" s="25" t="s">
        <v>55</v>
      </c>
      <c r="D58" s="25" t="s">
        <v>45</v>
      </c>
      <c r="E58" s="25" t="s">
        <v>143</v>
      </c>
      <c r="F58" s="25" t="s">
        <v>144</v>
      </c>
      <c r="G58" s="26">
        <v>708333.0</v>
      </c>
      <c r="H58" s="26" t="s">
        <v>48</v>
      </c>
      <c r="I58" s="25" t="s">
        <v>48</v>
      </c>
      <c r="J58" s="27" t="s">
        <v>48</v>
      </c>
      <c r="K58" s="28">
        <v>3.0</v>
      </c>
      <c r="L58" s="27">
        <v>0.0</v>
      </c>
      <c r="M58" s="27" t="s">
        <v>49</v>
      </c>
      <c r="N58" s="27">
        <v>0.002</v>
      </c>
      <c r="O58" s="27" t="s">
        <v>145</v>
      </c>
      <c r="P58" s="27" t="s">
        <v>51</v>
      </c>
      <c r="Q58" s="29" t="s">
        <v>146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 ht="14.25" customHeight="1">
      <c r="A59" s="25" t="s">
        <v>42</v>
      </c>
      <c r="B59" s="25" t="s">
        <v>142</v>
      </c>
      <c r="C59" s="25" t="s">
        <v>55</v>
      </c>
      <c r="D59" s="25" t="s">
        <v>45</v>
      </c>
      <c r="E59" s="25" t="s">
        <v>143</v>
      </c>
      <c r="F59" s="25" t="s">
        <v>147</v>
      </c>
      <c r="G59" s="26">
        <v>708333.0</v>
      </c>
      <c r="H59" s="26" t="s">
        <v>48</v>
      </c>
      <c r="I59" s="25" t="s">
        <v>48</v>
      </c>
      <c r="J59" s="27" t="s">
        <v>48</v>
      </c>
      <c r="K59" s="28">
        <v>3.0</v>
      </c>
      <c r="L59" s="27">
        <v>0.0</v>
      </c>
      <c r="M59" s="27" t="s">
        <v>49</v>
      </c>
      <c r="N59" s="27">
        <v>0.002</v>
      </c>
      <c r="O59" s="27" t="s">
        <v>145</v>
      </c>
      <c r="P59" s="27" t="s">
        <v>51</v>
      </c>
      <c r="Q59" s="29" t="s">
        <v>146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 ht="14.25" customHeight="1">
      <c r="A60" s="25" t="s">
        <v>42</v>
      </c>
      <c r="B60" s="25" t="s">
        <v>142</v>
      </c>
      <c r="C60" s="25" t="s">
        <v>55</v>
      </c>
      <c r="D60" s="25" t="s">
        <v>45</v>
      </c>
      <c r="E60" s="25" t="s">
        <v>143</v>
      </c>
      <c r="F60" s="25" t="s">
        <v>148</v>
      </c>
      <c r="G60" s="26">
        <v>708333.0</v>
      </c>
      <c r="H60" s="26" t="s">
        <v>48</v>
      </c>
      <c r="I60" s="25" t="s">
        <v>48</v>
      </c>
      <c r="J60" s="27" t="s">
        <v>48</v>
      </c>
      <c r="K60" s="28">
        <v>3.0</v>
      </c>
      <c r="L60" s="27">
        <v>0.0</v>
      </c>
      <c r="M60" s="27" t="s">
        <v>49</v>
      </c>
      <c r="N60" s="27">
        <v>0.002</v>
      </c>
      <c r="O60" s="27" t="s">
        <v>145</v>
      </c>
      <c r="P60" s="27" t="s">
        <v>51</v>
      </c>
      <c r="Q60" s="29" t="s">
        <v>146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 ht="14.25" customHeight="1">
      <c r="A61" s="25" t="s">
        <v>42</v>
      </c>
      <c r="B61" s="25" t="s">
        <v>142</v>
      </c>
      <c r="C61" s="25" t="s">
        <v>55</v>
      </c>
      <c r="D61" s="25" t="s">
        <v>45</v>
      </c>
      <c r="E61" s="25" t="s">
        <v>143</v>
      </c>
      <c r="F61" s="25" t="s">
        <v>149</v>
      </c>
      <c r="G61" s="26">
        <v>708333.0</v>
      </c>
      <c r="H61" s="26" t="s">
        <v>48</v>
      </c>
      <c r="I61" s="25" t="s">
        <v>48</v>
      </c>
      <c r="J61" s="27" t="s">
        <v>48</v>
      </c>
      <c r="K61" s="28">
        <v>3.0</v>
      </c>
      <c r="L61" s="27">
        <v>0.0</v>
      </c>
      <c r="M61" s="27" t="s">
        <v>49</v>
      </c>
      <c r="N61" s="27">
        <v>0.002</v>
      </c>
      <c r="O61" s="27" t="s">
        <v>145</v>
      </c>
      <c r="P61" s="27" t="s">
        <v>51</v>
      </c>
      <c r="Q61" s="29" t="s">
        <v>146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 ht="14.25" customHeight="1">
      <c r="A62" s="25" t="s">
        <v>42</v>
      </c>
      <c r="B62" s="25" t="s">
        <v>142</v>
      </c>
      <c r="C62" s="25" t="s">
        <v>55</v>
      </c>
      <c r="D62" s="25" t="s">
        <v>45</v>
      </c>
      <c r="E62" s="25" t="s">
        <v>143</v>
      </c>
      <c r="F62" s="25" t="s">
        <v>150</v>
      </c>
      <c r="G62" s="26">
        <v>708333.0</v>
      </c>
      <c r="H62" s="26" t="s">
        <v>48</v>
      </c>
      <c r="I62" s="25" t="s">
        <v>48</v>
      </c>
      <c r="J62" s="27" t="s">
        <v>48</v>
      </c>
      <c r="K62" s="28">
        <v>3.0</v>
      </c>
      <c r="L62" s="27">
        <v>0.0</v>
      </c>
      <c r="M62" s="27" t="s">
        <v>49</v>
      </c>
      <c r="N62" s="27">
        <v>0.002</v>
      </c>
      <c r="O62" s="27" t="s">
        <v>145</v>
      </c>
      <c r="P62" s="27" t="s">
        <v>51</v>
      </c>
      <c r="Q62" s="29" t="s">
        <v>146</v>
      </c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 ht="14.25" customHeight="1">
      <c r="A63" s="25" t="s">
        <v>42</v>
      </c>
      <c r="B63" s="25" t="s">
        <v>142</v>
      </c>
      <c r="C63" s="25" t="s">
        <v>55</v>
      </c>
      <c r="D63" s="25" t="s">
        <v>45</v>
      </c>
      <c r="E63" s="25" t="s">
        <v>143</v>
      </c>
      <c r="F63" s="25" t="s">
        <v>151</v>
      </c>
      <c r="G63" s="26">
        <v>708333.0</v>
      </c>
      <c r="H63" s="26" t="s">
        <v>48</v>
      </c>
      <c r="I63" s="25" t="s">
        <v>48</v>
      </c>
      <c r="J63" s="27" t="s">
        <v>48</v>
      </c>
      <c r="K63" s="28">
        <v>3.0</v>
      </c>
      <c r="L63" s="27">
        <v>0.0</v>
      </c>
      <c r="M63" s="27" t="s">
        <v>49</v>
      </c>
      <c r="N63" s="27">
        <v>0.002</v>
      </c>
      <c r="O63" s="27" t="s">
        <v>145</v>
      </c>
      <c r="P63" s="27" t="s">
        <v>51</v>
      </c>
      <c r="Q63" s="29" t="s">
        <v>146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 ht="14.25" customHeight="1">
      <c r="A64" s="25" t="s">
        <v>42</v>
      </c>
      <c r="B64" s="25" t="s">
        <v>142</v>
      </c>
      <c r="C64" s="25" t="s">
        <v>55</v>
      </c>
      <c r="D64" s="25" t="s">
        <v>45</v>
      </c>
      <c r="E64" s="25" t="s">
        <v>143</v>
      </c>
      <c r="F64" s="25" t="s">
        <v>152</v>
      </c>
      <c r="G64" s="26">
        <v>708333.0</v>
      </c>
      <c r="H64" s="26" t="s">
        <v>48</v>
      </c>
      <c r="I64" s="25" t="s">
        <v>48</v>
      </c>
      <c r="J64" s="27" t="s">
        <v>48</v>
      </c>
      <c r="K64" s="28">
        <v>3.0</v>
      </c>
      <c r="L64" s="27">
        <v>0.0</v>
      </c>
      <c r="M64" s="27" t="s">
        <v>49</v>
      </c>
      <c r="N64" s="27">
        <v>0.002</v>
      </c>
      <c r="O64" s="27" t="s">
        <v>145</v>
      </c>
      <c r="P64" s="27" t="s">
        <v>51</v>
      </c>
      <c r="Q64" s="29" t="s">
        <v>146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 ht="14.25" customHeight="1">
      <c r="A65" s="25" t="s">
        <v>42</v>
      </c>
      <c r="B65" s="25" t="s">
        <v>142</v>
      </c>
      <c r="C65" s="25" t="s">
        <v>55</v>
      </c>
      <c r="D65" s="25" t="s">
        <v>45</v>
      </c>
      <c r="E65" s="25" t="s">
        <v>143</v>
      </c>
      <c r="F65" s="25" t="s">
        <v>153</v>
      </c>
      <c r="G65" s="26">
        <v>708333.0</v>
      </c>
      <c r="H65" s="26" t="s">
        <v>48</v>
      </c>
      <c r="I65" s="25" t="s">
        <v>48</v>
      </c>
      <c r="J65" s="27" t="s">
        <v>48</v>
      </c>
      <c r="K65" s="28">
        <v>3.0</v>
      </c>
      <c r="L65" s="27">
        <v>0.0</v>
      </c>
      <c r="M65" s="27" t="s">
        <v>49</v>
      </c>
      <c r="N65" s="27">
        <v>0.002</v>
      </c>
      <c r="O65" s="27" t="s">
        <v>145</v>
      </c>
      <c r="P65" s="27" t="s">
        <v>51</v>
      </c>
      <c r="Q65" s="29" t="s">
        <v>146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 ht="14.25" customHeight="1">
      <c r="A66" s="25" t="s">
        <v>42</v>
      </c>
      <c r="B66" s="25" t="s">
        <v>142</v>
      </c>
      <c r="C66" s="25" t="s">
        <v>55</v>
      </c>
      <c r="D66" s="25" t="s">
        <v>45</v>
      </c>
      <c r="E66" s="25" t="s">
        <v>143</v>
      </c>
      <c r="F66" s="25" t="s">
        <v>154</v>
      </c>
      <c r="G66" s="26">
        <v>708333.0</v>
      </c>
      <c r="H66" s="26" t="s">
        <v>48</v>
      </c>
      <c r="I66" s="25" t="s">
        <v>48</v>
      </c>
      <c r="J66" s="27" t="s">
        <v>48</v>
      </c>
      <c r="K66" s="28">
        <v>3.0</v>
      </c>
      <c r="L66" s="27">
        <v>0.0</v>
      </c>
      <c r="M66" s="27" t="s">
        <v>49</v>
      </c>
      <c r="N66" s="27">
        <v>0.002</v>
      </c>
      <c r="O66" s="27" t="s">
        <v>145</v>
      </c>
      <c r="P66" s="27" t="s">
        <v>51</v>
      </c>
      <c r="Q66" s="29" t="s">
        <v>146</v>
      </c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 ht="14.25" customHeight="1">
      <c r="A67" s="25" t="s">
        <v>42</v>
      </c>
      <c r="B67" s="25" t="s">
        <v>142</v>
      </c>
      <c r="C67" s="25" t="s">
        <v>55</v>
      </c>
      <c r="D67" s="25" t="s">
        <v>45</v>
      </c>
      <c r="E67" s="25" t="s">
        <v>143</v>
      </c>
      <c r="F67" s="25" t="s">
        <v>155</v>
      </c>
      <c r="G67" s="26">
        <v>708333.0</v>
      </c>
      <c r="H67" s="26" t="s">
        <v>48</v>
      </c>
      <c r="I67" s="25" t="s">
        <v>48</v>
      </c>
      <c r="J67" s="27" t="s">
        <v>48</v>
      </c>
      <c r="K67" s="28">
        <v>3.0</v>
      </c>
      <c r="L67" s="27">
        <v>0.0</v>
      </c>
      <c r="M67" s="27" t="s">
        <v>49</v>
      </c>
      <c r="N67" s="27">
        <v>0.002</v>
      </c>
      <c r="O67" s="27" t="s">
        <v>145</v>
      </c>
      <c r="P67" s="27" t="s">
        <v>51</v>
      </c>
      <c r="Q67" s="29" t="s">
        <v>146</v>
      </c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 ht="14.25" customHeight="1">
      <c r="A68" s="25" t="s">
        <v>42</v>
      </c>
      <c r="B68" s="25" t="s">
        <v>142</v>
      </c>
      <c r="C68" s="25" t="s">
        <v>55</v>
      </c>
      <c r="D68" s="25" t="s">
        <v>45</v>
      </c>
      <c r="E68" s="25" t="s">
        <v>143</v>
      </c>
      <c r="F68" s="25" t="s">
        <v>156</v>
      </c>
      <c r="G68" s="26">
        <v>708333.0</v>
      </c>
      <c r="H68" s="26" t="s">
        <v>48</v>
      </c>
      <c r="I68" s="25" t="s">
        <v>48</v>
      </c>
      <c r="J68" s="27" t="s">
        <v>48</v>
      </c>
      <c r="K68" s="28">
        <v>3.0</v>
      </c>
      <c r="L68" s="27">
        <v>0.0</v>
      </c>
      <c r="M68" s="27" t="s">
        <v>49</v>
      </c>
      <c r="N68" s="27">
        <v>0.002</v>
      </c>
      <c r="O68" s="27" t="s">
        <v>145</v>
      </c>
      <c r="P68" s="27" t="s">
        <v>51</v>
      </c>
      <c r="Q68" s="29" t="s">
        <v>146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 ht="14.25" customHeight="1">
      <c r="A69" s="25" t="s">
        <v>42</v>
      </c>
      <c r="B69" s="25" t="s">
        <v>142</v>
      </c>
      <c r="C69" s="25" t="s">
        <v>44</v>
      </c>
      <c r="D69" s="25" t="s">
        <v>45</v>
      </c>
      <c r="E69" s="25" t="s">
        <v>143</v>
      </c>
      <c r="F69" s="25" t="s">
        <v>47</v>
      </c>
      <c r="G69" s="26">
        <v>708333.0</v>
      </c>
      <c r="H69" s="26" t="s">
        <v>48</v>
      </c>
      <c r="I69" s="25" t="s">
        <v>48</v>
      </c>
      <c r="J69" s="27" t="s">
        <v>48</v>
      </c>
      <c r="K69" s="28">
        <v>3.0</v>
      </c>
      <c r="L69" s="27">
        <v>0.0</v>
      </c>
      <c r="M69" s="27" t="s">
        <v>49</v>
      </c>
      <c r="N69" s="27">
        <v>0.002</v>
      </c>
      <c r="O69" s="27" t="s">
        <v>145</v>
      </c>
      <c r="P69" s="27" t="s">
        <v>51</v>
      </c>
      <c r="Q69" s="29" t="s">
        <v>146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 ht="14.25" customHeight="1">
      <c r="A70" s="25" t="s">
        <v>53</v>
      </c>
      <c r="B70" s="25" t="s">
        <v>157</v>
      </c>
      <c r="C70" s="25" t="s">
        <v>44</v>
      </c>
      <c r="D70" s="25" t="s">
        <v>45</v>
      </c>
      <c r="E70" s="25" t="s">
        <v>158</v>
      </c>
      <c r="F70" s="25" t="s">
        <v>47</v>
      </c>
      <c r="G70" s="26">
        <v>1100000.0</v>
      </c>
      <c r="H70" s="26" t="s">
        <v>48</v>
      </c>
      <c r="I70" s="25" t="s">
        <v>48</v>
      </c>
      <c r="J70" s="27" t="s">
        <v>48</v>
      </c>
      <c r="K70" s="28">
        <v>1.5</v>
      </c>
      <c r="L70" s="27">
        <v>0.0</v>
      </c>
      <c r="M70" s="27" t="s">
        <v>49</v>
      </c>
      <c r="N70" s="27">
        <v>0.002</v>
      </c>
      <c r="O70" s="27" t="s">
        <v>159</v>
      </c>
      <c r="P70" s="27" t="s">
        <v>160</v>
      </c>
      <c r="Q70" s="29" t="s">
        <v>161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 ht="14.25" customHeight="1">
      <c r="A71" s="25" t="s">
        <v>42</v>
      </c>
      <c r="B71" s="25" t="s">
        <v>162</v>
      </c>
      <c r="C71" s="25" t="s">
        <v>44</v>
      </c>
      <c r="D71" s="25" t="s">
        <v>45</v>
      </c>
      <c r="E71" s="25" t="s">
        <v>163</v>
      </c>
      <c r="F71" s="25" t="s">
        <v>47</v>
      </c>
      <c r="G71" s="26">
        <v>700000.0</v>
      </c>
      <c r="H71" s="26" t="s">
        <v>48</v>
      </c>
      <c r="I71" s="25" t="s">
        <v>48</v>
      </c>
      <c r="J71" s="27" t="s">
        <v>48</v>
      </c>
      <c r="K71" s="28">
        <v>1.8</v>
      </c>
      <c r="L71" s="27">
        <v>0.0</v>
      </c>
      <c r="M71" s="27" t="s">
        <v>49</v>
      </c>
      <c r="N71" s="27">
        <v>0.002</v>
      </c>
      <c r="O71" s="27" t="s">
        <v>164</v>
      </c>
      <c r="P71" s="27" t="s">
        <v>165</v>
      </c>
      <c r="Q71" s="29" t="s">
        <v>166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 ht="14.25" customHeight="1">
      <c r="A72" s="25" t="s">
        <v>42</v>
      </c>
      <c r="B72" s="25" t="s">
        <v>167</v>
      </c>
      <c r="C72" s="25" t="s">
        <v>44</v>
      </c>
      <c r="D72" s="25" t="s">
        <v>45</v>
      </c>
      <c r="E72" s="25" t="s">
        <v>168</v>
      </c>
      <c r="F72" s="25" t="s">
        <v>47</v>
      </c>
      <c r="G72" s="26">
        <v>7000000.0</v>
      </c>
      <c r="H72" s="26" t="s">
        <v>48</v>
      </c>
      <c r="I72" s="25" t="s">
        <v>48</v>
      </c>
      <c r="J72" s="27" t="s">
        <v>48</v>
      </c>
      <c r="K72" s="28">
        <v>1.0</v>
      </c>
      <c r="L72" s="27">
        <v>0.0</v>
      </c>
      <c r="M72" s="27" t="s">
        <v>49</v>
      </c>
      <c r="N72" s="27">
        <v>0.002</v>
      </c>
      <c r="O72" s="27" t="s">
        <v>169</v>
      </c>
      <c r="P72" s="27" t="s">
        <v>170</v>
      </c>
      <c r="Q72" s="29" t="s">
        <v>60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 ht="14.25" customHeight="1">
      <c r="A73" s="25" t="s">
        <v>42</v>
      </c>
      <c r="B73" s="25" t="s">
        <v>171</v>
      </c>
      <c r="C73" s="25" t="s">
        <v>44</v>
      </c>
      <c r="D73" s="25" t="s">
        <v>45</v>
      </c>
      <c r="E73" s="25" t="s">
        <v>172</v>
      </c>
      <c r="F73" s="25" t="s">
        <v>47</v>
      </c>
      <c r="G73" s="26">
        <v>7500000.0</v>
      </c>
      <c r="H73" s="26" t="s">
        <v>48</v>
      </c>
      <c r="I73" s="25" t="s">
        <v>48</v>
      </c>
      <c r="J73" s="27" t="s">
        <v>48</v>
      </c>
      <c r="K73" s="28">
        <v>1.4</v>
      </c>
      <c r="L73" s="27">
        <v>0.0</v>
      </c>
      <c r="M73" s="27" t="s">
        <v>49</v>
      </c>
      <c r="N73" s="27">
        <v>0.002</v>
      </c>
      <c r="O73" s="27" t="s">
        <v>173</v>
      </c>
      <c r="P73" s="27" t="s">
        <v>51</v>
      </c>
      <c r="Q73" s="29" t="s">
        <v>174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L2"/>
    <mergeCell ref="A4:B4"/>
    <mergeCell ref="C4:G4"/>
    <mergeCell ref="A22:Q2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2026-04-23T13:05:47Z</dcterms:created>
  <dc:creator>Finance 04</dc:creator>
</cp:coreProperties>
</file>