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ssumptions" sheetId="2" r:id="rId5"/>
    <sheet state="visible" name="Year 1 Monthly (Phase 1)" sheetId="3" r:id="rId6"/>
    <sheet state="visible" name="24M All Corridors" sheetId="4" r:id="rId7"/>
    <sheet state="visible" name="Volume Tiers" sheetId="5" r:id="rId8"/>
  </sheets>
  <definedNames/>
  <calcPr/>
  <extLst>
    <ext uri="GoogleSheetsCustomDataVersion2">
      <go:sheetsCustomData xmlns:go="http://customooxmlschemas.google.com/" r:id="rId9" roundtripDataChecksum="lvDsLOndJqjySYwKBwgakA4T+3nSqLdym7Wp+Uta63s="/>
    </ext>
  </extLst>
</workbook>
</file>

<file path=xl/sharedStrings.xml><?xml version="1.0" encoding="utf-8"?>
<sst xmlns="http://schemas.openxmlformats.org/spreadsheetml/2006/main" count="347" uniqueCount="228">
  <si>
    <t>Mal Global Accounts - Thunes Corridor Volume Projection</t>
  </si>
  <si>
    <t>Prepared for Thunes commercial discussion | Confidential</t>
  </si>
  <si>
    <t>Context</t>
  </si>
  <si>
    <t>•</t>
  </si>
  <si>
    <t>Mal is a Sharia-compliant digital bank (Abu Dhabi HQ) launching USD-first global accounts for underserved USD earners.</t>
  </si>
  <si>
    <t>Montana-registered MSB (Mal Money Inc.) with US bank partner providing FBO / ACH / BIN rails.</t>
  </si>
  <si>
    <t>Phase 1 (launch): Pakistan, Egypt, UAE. Phase 2: Bangladesh, Turkey, KSA, Jordan. Phase 3: remaining 11 corridors.</t>
  </si>
  <si>
    <t>Private beta launches early May with 50 controlled users, ramping to 1,000 within 30 days.</t>
  </si>
  <si>
    <t>Target segment: freelancers, remote workers, and USD-earning professionals across 18 origination residencies.</t>
  </si>
  <si>
    <t>Capital raised to date: $220M. Commercial discipline: competitive unit economics from day one.</t>
  </si>
  <si>
    <t>Corridor sequencing (all outbound USD → local currency, ACH-originated in US)</t>
  </si>
  <si>
    <t>Phase</t>
  </si>
  <si>
    <t>Launch</t>
  </si>
  <si>
    <t>Country</t>
  </si>
  <si>
    <t>ISO</t>
  </si>
  <si>
    <t>Currency</t>
  </si>
  <si>
    <t>Rails</t>
  </si>
  <si>
    <t>Phase 1</t>
  </si>
  <si>
    <t>May 2026</t>
  </si>
  <si>
    <t>Pakistan</t>
  </si>
  <si>
    <t>PK</t>
  </si>
  <si>
    <t>PKR</t>
  </si>
  <si>
    <t>Bank accounts + wallets (JazzCash, Easypaisa)</t>
  </si>
  <si>
    <t>Egypt</t>
  </si>
  <si>
    <t>EG</t>
  </si>
  <si>
    <t>EGP</t>
  </si>
  <si>
    <t>Bank accounts</t>
  </si>
  <si>
    <t>United Arab Emirates</t>
  </si>
  <si>
    <t>AE</t>
  </si>
  <si>
    <t>AED</t>
  </si>
  <si>
    <t>Phase 2</t>
  </si>
  <si>
    <t>Aug 2026</t>
  </si>
  <si>
    <t>Bangladesh</t>
  </si>
  <si>
    <t>BD</t>
  </si>
  <si>
    <t>BDT</t>
  </si>
  <si>
    <t>Bank accounts + wallets (bKash, Nagad)</t>
  </si>
  <si>
    <t>Sep 2026</t>
  </si>
  <si>
    <t>Turkey</t>
  </si>
  <si>
    <t>TR</t>
  </si>
  <si>
    <t>TRY</t>
  </si>
  <si>
    <t>Oct 2026</t>
  </si>
  <si>
    <t>Saudi Arabia</t>
  </si>
  <si>
    <t>SA</t>
  </si>
  <si>
    <t>SAR</t>
  </si>
  <si>
    <t>Nov 2026</t>
  </si>
  <si>
    <t>Jordan</t>
  </si>
  <si>
    <t>JO</t>
  </si>
  <si>
    <t>JOD</t>
  </si>
  <si>
    <t>Phase 3</t>
  </si>
  <si>
    <t>Q1 2027</t>
  </si>
  <si>
    <t>Indonesia</t>
  </si>
  <si>
    <t>ID</t>
  </si>
  <si>
    <t>IDR</t>
  </si>
  <si>
    <t>Bank accounts + wallets</t>
  </si>
  <si>
    <t>Philippines</t>
  </si>
  <si>
    <t>PH</t>
  </si>
  <si>
    <t>PHP</t>
  </si>
  <si>
    <t>Bank accounts + wallets (GCash)</t>
  </si>
  <si>
    <t>Malaysia</t>
  </si>
  <si>
    <t>MY</t>
  </si>
  <si>
    <t>MYR</t>
  </si>
  <si>
    <t>Morocco</t>
  </si>
  <si>
    <t>MA</t>
  </si>
  <si>
    <t>MAD</t>
  </si>
  <si>
    <t>Q2 2027</t>
  </si>
  <si>
    <t>Tunisia</t>
  </si>
  <si>
    <t>TN</t>
  </si>
  <si>
    <t>TND</t>
  </si>
  <si>
    <t>Algeria</t>
  </si>
  <si>
    <t>DZ</t>
  </si>
  <si>
    <t>DZD</t>
  </si>
  <si>
    <t>Bahrain</t>
  </si>
  <si>
    <t>BH</t>
  </si>
  <si>
    <t>BHD</t>
  </si>
  <si>
    <t>Kuwait</t>
  </si>
  <si>
    <t>KW</t>
  </si>
  <si>
    <t>KWD</t>
  </si>
  <si>
    <t>Oman</t>
  </si>
  <si>
    <t>OM</t>
  </si>
  <si>
    <t>OMR</t>
  </si>
  <si>
    <t>Qatar</t>
  </si>
  <si>
    <t>QA</t>
  </si>
  <si>
    <t>QAR</t>
  </si>
  <si>
    <t>Singapore</t>
  </si>
  <si>
    <t>SG</t>
  </si>
  <si>
    <t>SGD</t>
  </si>
  <si>
    <t>Note: All volumes are outbound USD originated from US accounts (ACH/FBO). Destination disbursement in local currency via Thunes bank account and wallet rails. Projections assume private beta → public launch across Phase 1 markets (Month 1 = May 2026), with Phase 2 and Phase 3 corridors onboarded per the sequencing above.</t>
  </si>
  <si>
    <t>Key assumptions</t>
  </si>
  <si>
    <t>Assumption</t>
  </si>
  <si>
    <t>Value</t>
  </si>
  <si>
    <t>Unit</t>
  </si>
  <si>
    <t>Rationale</t>
  </si>
  <si>
    <t>Private beta start</t>
  </si>
  <si>
    <t>Month 1</t>
  </si>
  <si>
    <t>50 controlled users → 1,000 in 30 days</t>
  </si>
  <si>
    <t>Public launch (Phase 1)</t>
  </si>
  <si>
    <t>Jul 2026</t>
  </si>
  <si>
    <t>Month 3</t>
  </si>
  <si>
    <t>Pakistan, Egypt, UAE live in parallel</t>
  </si>
  <si>
    <t>Pakistan — active users, Month 12</t>
  </si>
  <si>
    <t>users</t>
  </si>
  <si>
    <t>Internal target; Pakistan freelancer TAM ~4.2M (Payoneer/SBP)</t>
  </si>
  <si>
    <t>Pakistan — active users, Month 24</t>
  </si>
  <si>
    <t>~2% of freelancer TAM</t>
  </si>
  <si>
    <t>Egypt — active users, Month 12</t>
  </si>
  <si>
    <t>IT/digital exports + remote worker base</t>
  </si>
  <si>
    <t>Egypt — active users, Month 24</t>
  </si>
  <si>
    <t>Phase 1 benefit: full year of ramp vs BD/TR starting later</t>
  </si>
  <si>
    <t>UAE — active users, Month 12</t>
  </si>
  <si>
    <t>Smaller population; higher-ticket expat and resident professional base</t>
  </si>
  <si>
    <t>UAE — active users, Month 24</t>
  </si>
  <si>
    <t>High per-user throughput, lower transaction count</t>
  </si>
  <si>
    <t>Avg transfer value (PK) Month 1→24</t>
  </si>
  <si>
    <t>$200 → $380</t>
  </si>
  <si>
    <t>USD</t>
  </si>
  <si>
    <t>Typical freelancer ticket rising with trust + higher-earning cohort</t>
  </si>
  <si>
    <t>Avg transfer value (EG) Month 1→24</t>
  </si>
  <si>
    <t>$220 → $320</t>
  </si>
  <si>
    <t>Slightly higher than PK; IT export cohort mix</t>
  </si>
  <si>
    <t>Avg transfer value (AE) Month 1→24</t>
  </si>
  <si>
    <t>$450 → $650</t>
  </si>
  <si>
    <t>Expat salaries, larger remittance tickets back to home country</t>
  </si>
  <si>
    <t>Transfers per user / month</t>
  </si>
  <si>
    <t>1.2 → 3.0</t>
  </si>
  <si>
    <t>#</t>
  </si>
  <si>
    <t>Ramps with engagement across all corridors</t>
  </si>
  <si>
    <t>Avg MoM volume growth — Phase 1</t>
  </si>
  <si>
    <t>18–25%</t>
  </si>
  <si>
    <t>%</t>
  </si>
  <si>
    <t>Aggressive Month 1–9, tapering after Gate 2</t>
  </si>
  <si>
    <t>Avg MoM volume growth — Phase 2</t>
  </si>
  <si>
    <t>15–20%</t>
  </si>
  <si>
    <t>Smaller TAM, later start</t>
  </si>
  <si>
    <t>Avg MoM volume growth — Phase 3</t>
  </si>
  <si>
    <t>8–12%</t>
  </si>
  <si>
    <t>Smaller populations, high ticket size</t>
  </si>
  <si>
    <t>Payout scope</t>
  </si>
  <si>
    <t>Bank + wallet</t>
  </si>
  <si>
    <t>—</t>
  </si>
  <si>
    <t>Excluding cards for now (cards confirmed as separate track)</t>
  </si>
  <si>
    <t>Year 1 — Monthly projections (Phase 1: Pakistan, Egypt, UAE)</t>
  </si>
  <si>
    <t>Monthly active users, average ticket (USD), transactions, and volume (USD). All three Phase 1 corridors go live together in May 2026.</t>
  </si>
  <si>
    <t>Corridor</t>
  </si>
  <si>
    <t>Metric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</si>
  <si>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</si>
  <si>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</si>
  <si>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</si>
  <si>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</si>
  <si>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</si>
  <si>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</si>
  <si>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</si>
  <si>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</si>
  <si>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</si>
  <si>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</si>
  <si>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</si>
  <si>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</si>
  <si>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Yr 1 Total</t>
  </si>
  <si>
    <t>% of Yr 1</t>
  </si>
  <si>
    <t>Pakistan (PKR)</t>
  </si>
  <si>
    <t>Active users</t>
  </si>
  <si>
    <t>Avg ticket (USD)</t>
  </si>
  <si>
    <t>Transactions</t>
  </si>
  <si>
    <t>Monthly volume (USD)</t>
  </si>
  <si>
    <t>Egypt (EGP)</t>
  </si>
  <si>
    <t>United Arab Emirates (AED)</t>
  </si>
  <si>
    <t>TOTAL — Phase 1</t>
  </si>
  <si>
    <t>24-month corridor volume summary — all 18 corridors</t>
  </si>
  <si>
    <t>Monthly volume at key milestones + annualized run-rates. Year 1 = May 2026 – Apr 2027. Year 2 = May 2027 – Apr 2028.</t>
  </si>
  <si>
    <t>M3 vol</t>
  </si>
  <si>
    <t>M6 vol</t>
  </si>
  <si>
    <t>M12 vol</t>
  </si>
  <si>
    <t>M18 vol</t>
  </si>
  <si>
    <t>M24 vol</t>
  </si>
  <si>
    <t>Y1 total</t>
  </si>
  <si>
    <t>Y2 total</t>
  </si>
  <si>
    <t>Y1+Y2</t>
  </si>
  <si>
    <t>TOTAL — all 18 corridors</t>
  </si>
  <si>
    <t>Annualized run-rate (M12 × 12)</t>
  </si>
  <si>
    <t>Annualized run-rate (M24 × 12)</t>
  </si>
  <si>
    <t>Volume tiers - commercial framework</t>
  </si>
  <si>
    <t>Framework proposed for tiered pricing aligned to corridor ramp. Minimum monthly commitment (MMC) begins after 6-month launch grace period.</t>
  </si>
  <si>
    <t>Tier</t>
  </si>
  <si>
    <t>Expected trigger</t>
  </si>
  <si>
    <t>Monthly volume band (USD)</t>
  </si>
  <si>
    <t>Annualized run-rate</t>
  </si>
  <si>
    <t>Notes</t>
  </si>
  <si>
    <t>Launch / grace period</t>
  </si>
  <si>
    <t>Month 1–6 (Phase 1 live)</t>
  </si>
  <si>
    <t>Up to $3M</t>
  </si>
  <si>
    <t>Up to $36M</t>
  </si>
  <si>
    <t>No MMC. Private beta → public launch across PK, EG, AE. Integration + stabilization window.</t>
  </si>
  <si>
    <t>Tier 1</t>
  </si>
  <si>
    <t>Month 7–12</t>
  </si>
  <si>
    <t>$3M – $15M</t>
  </si>
  <si>
    <t>$36M – $180M</t>
  </si>
  <si>
    <t>First MMC kicks in at start of Month 7. Phase 2 corridors onboarding.</t>
  </si>
  <si>
    <t>Tier 2</t>
  </si>
  <si>
    <t>Month 13–18</t>
  </si>
  <si>
    <t>$15M – $45M</t>
  </si>
  <si>
    <t>$180M – $540M</t>
  </si>
  <si>
    <t>Phase 2 in steady state, Phase 3 ramping. Pricing step-down triggered.</t>
  </si>
  <si>
    <t>Tier 3</t>
  </si>
  <si>
    <t>Month 19–24</t>
  </si>
  <si>
    <t>$45M – $85M</t>
  </si>
  <si>
    <t>$540M – $1.0B</t>
  </si>
  <si>
    <t>All 18 corridors live. Second pricing step-down triggered.</t>
  </si>
  <si>
    <t>Tier 4 (stretch)</t>
  </si>
  <si>
    <t>Month 25+</t>
  </si>
  <si>
    <t>$85M+</t>
  </si>
  <si>
    <t>$1.0B+</t>
  </si>
  <si>
    <t>True-up discussion for best-in-class commercials.</t>
  </si>
  <si>
    <t>Commercial framework (proposed)</t>
  </si>
  <si>
    <t>One-time setup fee</t>
  </si>
  <si>
    <t>Waived for 18-corridor scope, or capped flat with rebate against first 12 months of transaction revenue.</t>
  </si>
  <si>
    <t>Minimum monthly commitment</t>
  </si>
  <si>
    <t>Zero for first 6 months. Tier-1 MMC from Month 7 aligned to projected Phase 1 + Phase 2 volumes.</t>
  </si>
  <si>
    <t>Per-transaction fee</t>
  </si>
  <si>
    <t>Cost-plus structure preferred. Benchmarked against best-in-market for PKR, EGP, AED corridors.</t>
  </si>
  <si>
    <t>FX spread</t>
  </si>
  <si>
    <t>Cost-plus, not fixed margin. Mid-market reference with transparent markup.</t>
  </si>
  <si>
    <t>Regulator rebates</t>
  </si>
  <si>
    <t>Shared 80/20 in Mal's favour on any jurisdiction where regulator incentives apply (SBP Pakistan precedent).</t>
  </si>
  <si>
    <t>Volume tier step-downs</t>
  </si>
  <si>
    <t>Automatic price reduction on sustained 3-month average crossing each tier boundary.</t>
  </si>
  <si>
    <t>Integration SLA</t>
  </si>
  <si>
    <t>2–4 weeks for Phase 1 (PK, EG, AE). Staged rollout for Phase 2 and 3 at no incremental setup cost.</t>
  </si>
  <si>
    <t>Quality of service SLA</t>
  </si>
  <si>
    <t>98%+ STP rate, sub-15s authorization, documented reconciliation and chargeback process.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</si>
</sst>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\-#,##0;\-"/>
    <numFmt numFmtId="165" formatCode="\$#,##0;&quot;-$&quot;#,##0;\-"/>
    <numFmt numFmtId="166" formatCode="0.0%;\-0.0%;\-"/>
  </numFmts>
  <fonts count="14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0.0"/>
      <color rgb="FF595959"/>
      <name val="Arial"/>
    </font>
    <font>
      <b/>
      <sz val="12.0"/>
      <color rgb="FFFFFFFF"/>
      <name val="Arial"/>
    </font>
    <font>
      <sz val="10.0"/>
      <color rgb="FF000000"/>
      <name val="Arial"/>
    </font>
    <font>
      <b/>
      <sz val="11.0"/>
      <color rgb="FFFFFFFF"/>
      <name val="Arial"/>
    </font>
    <font>
      <i/>
      <sz val="9.0"/>
      <color rgb="FF595959"/>
      <name val="Arial"/>
    </font>
    <font>
      <b/>
      <sz val="16.0"/>
      <color rgb="FFFFFFFF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sz val="10.0"/>
      <color rgb="FF0000FF"/>
      <name val="Arial"/>
    </font>
    <font>
      <b/>
      <sz val="10.0"/>
      <color rgb="FFFFFFFF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  <fill>
      <patternFill patternType="solid">
        <fgColor rgb="FF1F4E79"/>
        <bgColor rgb="FF1F4E79"/>
      </patternFill>
    </fill>
    <fill>
      <patternFill patternType="solid">
        <fgColor rgb="FFD9E7F5"/>
        <bgColor rgb="FFD9E7F5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9">
    <border/>
    <border>
      <left/>
      <top/>
      <bottom/>
    </border>
    <border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Border="1" applyFont="1"/>
    <xf borderId="0" fillId="0" fontId="3" numFmtId="0" xfId="0" applyAlignment="1" applyFont="1">
      <alignment horizontal="left" shrinkToFit="0" vertical="bottom" wrapText="0"/>
    </xf>
    <xf borderId="3" fillId="3" fontId="4" numFmtId="0" xfId="0" applyAlignment="1" applyBorder="1" applyFill="1" applyFont="1">
      <alignment horizontal="left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6" fillId="4" fontId="5" numFmtId="0" xfId="0" applyAlignment="1" applyBorder="1" applyFill="1" applyFont="1">
      <alignment horizontal="left" shrinkToFit="0" vertical="center" wrapText="1"/>
    </xf>
    <xf borderId="6" fillId="5" fontId="5" numFmtId="0" xfId="0" applyAlignment="1" applyBorder="1" applyFill="1" applyFont="1">
      <alignment horizontal="left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top" wrapText="1"/>
    </xf>
    <xf borderId="1" fillId="2" fontId="8" numFmtId="0" xfId="0" applyAlignment="1" applyBorder="1" applyFont="1">
      <alignment horizontal="left" shrinkToFit="0" vertical="center" wrapText="0"/>
    </xf>
    <xf borderId="6" fillId="3" fontId="6" numFmtId="0" xfId="0" applyAlignment="1" applyBorder="1" applyFont="1">
      <alignment horizontal="center" shrinkToFit="0" vertical="center" wrapText="1"/>
    </xf>
    <xf borderId="6" fillId="6" fontId="9" numFmtId="0" xfId="0" applyAlignment="1" applyBorder="1" applyFill="1" applyFont="1">
      <alignment horizontal="left" shrinkToFit="0" vertical="center" wrapText="1"/>
    </xf>
    <xf borderId="6" fillId="6" fontId="5" numFmtId="0" xfId="0" applyAlignment="1" applyBorder="1" applyFont="1">
      <alignment horizontal="left" shrinkToFit="0" vertical="center" wrapText="1"/>
    </xf>
    <xf borderId="6" fillId="0" fontId="9" numFmtId="0" xfId="0" applyAlignment="1" applyBorder="1" applyFont="1">
      <alignment horizontal="left" shrinkToFit="0" vertical="center" wrapText="1"/>
    </xf>
    <xf borderId="6" fillId="6" fontId="5" numFmtId="3" xfId="0" applyAlignment="1" applyBorder="1" applyFont="1" applyNumberFormat="1">
      <alignment horizontal="right" shrinkToFit="0" vertical="center" wrapText="1"/>
    </xf>
    <xf borderId="6" fillId="0" fontId="5" numFmtId="3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shrinkToFit="0" vertical="bottom" wrapText="0"/>
    </xf>
    <xf borderId="7" fillId="4" fontId="10" numFmtId="0" xfId="0" applyAlignment="1" applyBorder="1" applyFont="1">
      <alignment horizontal="center" shrinkToFit="0" vertical="center" wrapText="1"/>
    </xf>
    <xf borderId="6" fillId="0" fontId="11" numFmtId="164" xfId="0" applyAlignment="1" applyBorder="1" applyFont="1" applyNumberFormat="1">
      <alignment horizontal="right" shrinkToFit="0" vertical="center" wrapText="1"/>
    </xf>
    <xf borderId="6" fillId="6" fontId="9" numFmtId="164" xfId="0" applyAlignment="1" applyBorder="1" applyFont="1" applyNumberFormat="1">
      <alignment horizontal="right" shrinkToFit="0" vertical="center" wrapText="1"/>
    </xf>
    <xf borderId="6" fillId="6" fontId="5" numFmtId="0" xfId="0" applyAlignment="1" applyBorder="1" applyFont="1">
      <alignment horizontal="right" shrinkToFit="0" vertical="center" wrapText="1"/>
    </xf>
    <xf borderId="8" fillId="0" fontId="2" numFmtId="0" xfId="0" applyBorder="1" applyFont="1"/>
    <xf borderId="6" fillId="0" fontId="11" numFmtId="165" xfId="0" applyAlignment="1" applyBorder="1" applyFont="1" applyNumberFormat="1">
      <alignment horizontal="right" shrinkToFit="0" vertical="center" wrapText="1"/>
    </xf>
    <xf borderId="6" fillId="6" fontId="9" numFmtId="165" xfId="0" applyAlignment="1" applyBorder="1" applyFont="1" applyNumberFormat="1">
      <alignment horizontal="right" shrinkToFit="0" vertical="center" wrapText="1"/>
    </xf>
    <xf borderId="6" fillId="0" fontId="5" numFmtId="164" xfId="0" applyAlignment="1" applyBorder="1" applyFont="1" applyNumberFormat="1">
      <alignment horizontal="right" shrinkToFit="0" vertical="center" wrapText="1"/>
    </xf>
    <xf borderId="6" fillId="7" fontId="9" numFmtId="165" xfId="0" applyAlignment="1" applyBorder="1" applyFill="1" applyFont="1" applyNumberFormat="1">
      <alignment horizontal="right" shrinkToFit="0" vertical="center" wrapText="1"/>
    </xf>
    <xf borderId="6" fillId="6" fontId="9" numFmtId="166" xfId="0" applyAlignment="1" applyBorder="1" applyFont="1" applyNumberFormat="1">
      <alignment horizontal="right" shrinkToFit="0" vertical="center" wrapText="1"/>
    </xf>
    <xf borderId="3" fillId="2" fontId="6" numFmtId="0" xfId="0" applyAlignment="1" applyBorder="1" applyFont="1">
      <alignment horizontal="left" shrinkToFit="0" vertical="center" wrapText="1"/>
    </xf>
    <xf borderId="6" fillId="2" fontId="12" numFmtId="165" xfId="0" applyAlignment="1" applyBorder="1" applyFont="1" applyNumberFormat="1">
      <alignment horizontal="right" shrinkToFit="0" vertical="center" wrapText="1"/>
    </xf>
    <xf borderId="6" fillId="4" fontId="9" numFmtId="0" xfId="0" applyAlignment="1" applyBorder="1" applyFont="1">
      <alignment horizontal="left" shrinkToFit="0" vertical="center" wrapText="1"/>
    </xf>
    <xf borderId="6" fillId="4" fontId="11" numFmtId="165" xfId="0" applyAlignment="1" applyBorder="1" applyFont="1" applyNumberFormat="1">
      <alignment horizontal="right" shrinkToFit="0" vertical="center" wrapText="1"/>
    </xf>
    <xf borderId="6" fillId="4" fontId="9" numFmtId="165" xfId="0" applyAlignment="1" applyBorder="1" applyFont="1" applyNumberFormat="1">
      <alignment horizontal="right" shrinkToFit="0" vertical="center" wrapText="1"/>
    </xf>
    <xf borderId="6" fillId="5" fontId="9" numFmtId="0" xfId="0" applyAlignment="1" applyBorder="1" applyFont="1">
      <alignment horizontal="left" shrinkToFit="0" vertical="center" wrapText="1"/>
    </xf>
    <xf borderId="6" fillId="5" fontId="11" numFmtId="165" xfId="0" applyAlignment="1" applyBorder="1" applyFont="1" applyNumberFormat="1">
      <alignment horizontal="right" shrinkToFit="0" vertical="center" wrapText="1"/>
    </xf>
    <xf borderId="6" fillId="5" fontId="9" numFmtId="165" xfId="0" applyAlignment="1" applyBorder="1" applyFont="1" applyNumberFormat="1">
      <alignment horizontal="right" shrinkToFit="0" vertical="center" wrapText="1"/>
    </xf>
    <xf borderId="6" fillId="0" fontId="9" numFmtId="165" xfId="0" applyAlignment="1" applyBorder="1" applyFont="1" applyNumberFormat="1">
      <alignment horizontal="right" shrinkToFit="0" vertical="center" wrapText="1"/>
    </xf>
    <xf borderId="6" fillId="2" fontId="6" numFmtId="165" xfId="0" applyAlignment="1" applyBorder="1" applyFont="1" applyNumberFormat="1">
      <alignment horizontal="right" shrinkToFit="0" vertical="center" wrapText="1"/>
    </xf>
    <xf borderId="3" fillId="7" fontId="9" numFmtId="0" xfId="0" applyAlignment="1" applyBorder="1" applyFont="1">
      <alignment horizontal="left" shrinkToFit="0" vertical="center" wrapText="1"/>
    </xf>
    <xf borderId="6" fillId="7" fontId="10" numFmtId="165" xfId="0" applyAlignment="1" applyBorder="1" applyFont="1" applyNumberFormat="1">
      <alignment horizontal="right" shrinkToFit="0" vertical="center" wrapText="1"/>
    </xf>
    <xf borderId="0" fillId="0" fontId="13" numFmtId="0" xfId="0" applyAlignment="1" applyFont="1">
      <alignment shrinkToFit="0" vertical="bottom" wrapText="0"/>
    </xf>
    <xf borderId="6" fillId="0" fontId="5" numFmtId="0" xfId="0" applyAlignment="1" applyBorder="1" applyFont="1">
      <alignment horizontal="right" shrinkToFit="0" vertical="center" wrapText="1"/>
    </xf>
    <xf borderId="3" fillId="3" fontId="6" numFmtId="0" xfId="0" applyAlignment="1" applyBorder="1" applyFont="1">
      <alignment horizontal="left" shrinkToFit="0" vertical="center" wrapText="1"/>
    </xf>
    <xf borderId="3" fillId="6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0"/>
    <col customWidth="1" min="3" max="3" width="24.0"/>
    <col customWidth="1" min="4" max="4" width="8.0"/>
    <col customWidth="1" min="5" max="5" width="12.0"/>
    <col customWidth="1" min="6" max="6" width="48.0"/>
    <col customWidth="1" min="7" max="26" width="8.71"/>
  </cols>
  <sheetData>
    <row r="1" ht="36.0" customHeight="1">
      <c r="A1" s="1" t="s">
        <v>0</v>
      </c>
      <c r="B1" s="2"/>
      <c r="C1" s="2"/>
      <c r="D1" s="2"/>
      <c r="E1" s="2"/>
      <c r="F1" s="2"/>
    </row>
    <row r="2" ht="19.5" customHeight="1">
      <c r="A2" s="3" t="s">
        <v>1</v>
      </c>
    </row>
    <row r="4" ht="15.0" customHeight="1">
      <c r="A4" s="4" t="s">
        <v>2</v>
      </c>
      <c r="B4" s="5"/>
      <c r="C4" s="5"/>
      <c r="D4" s="5"/>
      <c r="E4" s="5"/>
      <c r="F4" s="6"/>
    </row>
    <row r="5" ht="19.5" customHeight="1">
      <c r="A5" s="7" t="s">
        <v>3</v>
      </c>
      <c r="B5" s="8" t="s">
        <v>4</v>
      </c>
      <c r="C5" s="5"/>
      <c r="D5" s="5"/>
      <c r="E5" s="5"/>
      <c r="F5" s="6"/>
    </row>
    <row r="6" ht="19.5" customHeight="1">
      <c r="A6" s="7" t="s">
        <v>3</v>
      </c>
      <c r="B6" s="8" t="s">
        <v>5</v>
      </c>
      <c r="C6" s="5"/>
      <c r="D6" s="5"/>
      <c r="E6" s="5"/>
      <c r="F6" s="6"/>
    </row>
    <row r="7" ht="19.5" customHeight="1">
      <c r="A7" s="7" t="s">
        <v>3</v>
      </c>
      <c r="B7" s="8" t="s">
        <v>6</v>
      </c>
      <c r="C7" s="5"/>
      <c r="D7" s="5"/>
      <c r="E7" s="5"/>
      <c r="F7" s="6"/>
    </row>
    <row r="8" ht="19.5" customHeight="1">
      <c r="A8" s="7" t="s">
        <v>3</v>
      </c>
      <c r="B8" s="8" t="s">
        <v>7</v>
      </c>
      <c r="C8" s="5"/>
      <c r="D8" s="5"/>
      <c r="E8" s="5"/>
      <c r="F8" s="6"/>
    </row>
    <row r="9" ht="19.5" customHeight="1">
      <c r="A9" s="7" t="s">
        <v>3</v>
      </c>
      <c r="B9" s="8" t="s">
        <v>8</v>
      </c>
      <c r="C9" s="5"/>
      <c r="D9" s="5"/>
      <c r="E9" s="5"/>
      <c r="F9" s="6"/>
    </row>
    <row r="10" ht="19.5" customHeight="1">
      <c r="A10" s="7" t="s">
        <v>3</v>
      </c>
      <c r="B10" s="8" t="s">
        <v>9</v>
      </c>
      <c r="C10" s="5"/>
      <c r="D10" s="5"/>
      <c r="E10" s="5"/>
      <c r="F10" s="6"/>
    </row>
    <row r="12" ht="15.0" customHeight="1">
      <c r="A12" s="4" t="s">
        <v>10</v>
      </c>
      <c r="B12" s="5"/>
      <c r="C12" s="5"/>
      <c r="D12" s="5"/>
      <c r="E12" s="5"/>
      <c r="F12" s="6"/>
    </row>
    <row r="13" ht="25.5" customHeight="1">
      <c r="A13" s="9" t="s">
        <v>11</v>
      </c>
      <c r="B13" s="9" t="s">
        <v>12</v>
      </c>
      <c r="C13" s="9" t="s">
        <v>13</v>
      </c>
      <c r="D13" s="9" t="s">
        <v>14</v>
      </c>
      <c r="E13" s="9" t="s">
        <v>15</v>
      </c>
      <c r="F13" s="9" t="s">
        <v>16</v>
      </c>
    </row>
    <row r="14">
      <c r="A14" s="10" t="s">
        <v>17</v>
      </c>
      <c r="B14" s="10" t="s">
        <v>18</v>
      </c>
      <c r="C14" s="10" t="s">
        <v>19</v>
      </c>
      <c r="D14" s="10" t="s">
        <v>20</v>
      </c>
      <c r="E14" s="10" t="s">
        <v>21</v>
      </c>
      <c r="F14" s="10" t="s">
        <v>22</v>
      </c>
    </row>
    <row r="15">
      <c r="A15" s="10" t="s">
        <v>17</v>
      </c>
      <c r="B15" s="10" t="s">
        <v>18</v>
      </c>
      <c r="C15" s="10" t="s">
        <v>23</v>
      </c>
      <c r="D15" s="10" t="s">
        <v>24</v>
      </c>
      <c r="E15" s="10" t="s">
        <v>25</v>
      </c>
      <c r="F15" s="10" t="s">
        <v>26</v>
      </c>
    </row>
    <row r="16">
      <c r="A16" s="10" t="s">
        <v>17</v>
      </c>
      <c r="B16" s="10" t="s">
        <v>18</v>
      </c>
      <c r="C16" s="10" t="s">
        <v>27</v>
      </c>
      <c r="D16" s="10" t="s">
        <v>28</v>
      </c>
      <c r="E16" s="10" t="s">
        <v>29</v>
      </c>
      <c r="F16" s="10" t="s">
        <v>26</v>
      </c>
    </row>
    <row r="17">
      <c r="A17" s="11" t="s">
        <v>30</v>
      </c>
      <c r="B17" s="11" t="s">
        <v>31</v>
      </c>
      <c r="C17" s="11" t="s">
        <v>32</v>
      </c>
      <c r="D17" s="11" t="s">
        <v>33</v>
      </c>
      <c r="E17" s="11" t="s">
        <v>34</v>
      </c>
      <c r="F17" s="11" t="s">
        <v>35</v>
      </c>
    </row>
    <row r="18">
      <c r="A18" s="11" t="s">
        <v>30</v>
      </c>
      <c r="B18" s="11" t="s">
        <v>36</v>
      </c>
      <c r="C18" s="11" t="s">
        <v>37</v>
      </c>
      <c r="D18" s="11" t="s">
        <v>38</v>
      </c>
      <c r="E18" s="11" t="s">
        <v>39</v>
      </c>
      <c r="F18" s="11" t="s">
        <v>26</v>
      </c>
    </row>
    <row r="19">
      <c r="A19" s="11" t="s">
        <v>30</v>
      </c>
      <c r="B19" s="11" t="s">
        <v>40</v>
      </c>
      <c r="C19" s="11" t="s">
        <v>41</v>
      </c>
      <c r="D19" s="11" t="s">
        <v>42</v>
      </c>
      <c r="E19" s="11" t="s">
        <v>43</v>
      </c>
      <c r="F19" s="11" t="s">
        <v>26</v>
      </c>
    </row>
    <row r="20">
      <c r="A20" s="11" t="s">
        <v>30</v>
      </c>
      <c r="B20" s="11" t="s">
        <v>44</v>
      </c>
      <c r="C20" s="11" t="s">
        <v>45</v>
      </c>
      <c r="D20" s="11" t="s">
        <v>46</v>
      </c>
      <c r="E20" s="11" t="s">
        <v>47</v>
      </c>
      <c r="F20" s="11" t="s">
        <v>26</v>
      </c>
    </row>
    <row r="21" ht="15.75" customHeight="1">
      <c r="A21" s="12" t="s">
        <v>48</v>
      </c>
      <c r="B21" s="12" t="s">
        <v>49</v>
      </c>
      <c r="C21" s="12" t="s">
        <v>50</v>
      </c>
      <c r="D21" s="12" t="s">
        <v>51</v>
      </c>
      <c r="E21" s="12" t="s">
        <v>52</v>
      </c>
      <c r="F21" s="12" t="s">
        <v>53</v>
      </c>
    </row>
    <row r="22" ht="15.75" customHeight="1">
      <c r="A22" s="12" t="s">
        <v>48</v>
      </c>
      <c r="B22" s="12" t="s">
        <v>49</v>
      </c>
      <c r="C22" s="12" t="s">
        <v>54</v>
      </c>
      <c r="D22" s="12" t="s">
        <v>55</v>
      </c>
      <c r="E22" s="12" t="s">
        <v>56</v>
      </c>
      <c r="F22" s="12" t="s">
        <v>57</v>
      </c>
    </row>
    <row r="23" ht="15.75" customHeight="1">
      <c r="A23" s="12" t="s">
        <v>48</v>
      </c>
      <c r="B23" s="12" t="s">
        <v>49</v>
      </c>
      <c r="C23" s="12" t="s">
        <v>58</v>
      </c>
      <c r="D23" s="12" t="s">
        <v>59</v>
      </c>
      <c r="E23" s="12" t="s">
        <v>60</v>
      </c>
      <c r="F23" s="12" t="s">
        <v>26</v>
      </c>
    </row>
    <row r="24" ht="15.75" customHeight="1">
      <c r="A24" s="12" t="s">
        <v>48</v>
      </c>
      <c r="B24" s="12" t="s">
        <v>49</v>
      </c>
      <c r="C24" s="12" t="s">
        <v>61</v>
      </c>
      <c r="D24" s="12" t="s">
        <v>62</v>
      </c>
      <c r="E24" s="12" t="s">
        <v>63</v>
      </c>
      <c r="F24" s="12" t="s">
        <v>26</v>
      </c>
    </row>
    <row r="25" ht="15.75" customHeight="1">
      <c r="A25" s="12" t="s">
        <v>48</v>
      </c>
      <c r="B25" s="12" t="s">
        <v>64</v>
      </c>
      <c r="C25" s="12" t="s">
        <v>65</v>
      </c>
      <c r="D25" s="12" t="s">
        <v>66</v>
      </c>
      <c r="E25" s="12" t="s">
        <v>67</v>
      </c>
      <c r="F25" s="12" t="s">
        <v>26</v>
      </c>
    </row>
    <row r="26" ht="15.75" customHeight="1">
      <c r="A26" s="12" t="s">
        <v>48</v>
      </c>
      <c r="B26" s="12" t="s">
        <v>64</v>
      </c>
      <c r="C26" s="12" t="s">
        <v>68</v>
      </c>
      <c r="D26" s="12" t="s">
        <v>69</v>
      </c>
      <c r="E26" s="12" t="s">
        <v>70</v>
      </c>
      <c r="F26" s="12" t="s">
        <v>26</v>
      </c>
    </row>
    <row r="27" ht="15.75" customHeight="1">
      <c r="A27" s="12" t="s">
        <v>48</v>
      </c>
      <c r="B27" s="12" t="s">
        <v>64</v>
      </c>
      <c r="C27" s="12" t="s">
        <v>71</v>
      </c>
      <c r="D27" s="12" t="s">
        <v>72</v>
      </c>
      <c r="E27" s="12" t="s">
        <v>73</v>
      </c>
      <c r="F27" s="12" t="s">
        <v>26</v>
      </c>
    </row>
    <row r="28" ht="15.75" customHeight="1">
      <c r="A28" s="12" t="s">
        <v>48</v>
      </c>
      <c r="B28" s="12" t="s">
        <v>64</v>
      </c>
      <c r="C28" s="12" t="s">
        <v>74</v>
      </c>
      <c r="D28" s="12" t="s">
        <v>75</v>
      </c>
      <c r="E28" s="12" t="s">
        <v>76</v>
      </c>
      <c r="F28" s="12" t="s">
        <v>26</v>
      </c>
    </row>
    <row r="29" ht="15.75" customHeight="1">
      <c r="A29" s="12" t="s">
        <v>48</v>
      </c>
      <c r="B29" s="12" t="s">
        <v>64</v>
      </c>
      <c r="C29" s="12" t="s">
        <v>77</v>
      </c>
      <c r="D29" s="12" t="s">
        <v>78</v>
      </c>
      <c r="E29" s="12" t="s">
        <v>79</v>
      </c>
      <c r="F29" s="12" t="s">
        <v>26</v>
      </c>
    </row>
    <row r="30" ht="15.75" customHeight="1">
      <c r="A30" s="12" t="s">
        <v>48</v>
      </c>
      <c r="B30" s="12" t="s">
        <v>64</v>
      </c>
      <c r="C30" s="12" t="s">
        <v>80</v>
      </c>
      <c r="D30" s="12" t="s">
        <v>81</v>
      </c>
      <c r="E30" s="12" t="s">
        <v>82</v>
      </c>
      <c r="F30" s="12" t="s">
        <v>26</v>
      </c>
    </row>
    <row r="31" ht="15.75" customHeight="1">
      <c r="A31" s="12" t="s">
        <v>48</v>
      </c>
      <c r="B31" s="12" t="s">
        <v>64</v>
      </c>
      <c r="C31" s="12" t="s">
        <v>83</v>
      </c>
      <c r="D31" s="12" t="s">
        <v>84</v>
      </c>
      <c r="E31" s="12" t="s">
        <v>85</v>
      </c>
      <c r="F31" s="12" t="s">
        <v>26</v>
      </c>
    </row>
    <row r="32" ht="15.75" customHeight="1"/>
    <row r="33" ht="43.5" customHeight="1">
      <c r="A33" s="13" t="s">
        <v>86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9:F9"/>
    <mergeCell ref="B10:F10"/>
    <mergeCell ref="A12:F12"/>
    <mergeCell ref="A33:F33"/>
    <mergeCell ref="A1:F1"/>
    <mergeCell ref="A2:F2"/>
    <mergeCell ref="A4:F4"/>
    <mergeCell ref="B5:F5"/>
    <mergeCell ref="B6:F6"/>
    <mergeCell ref="B7:F7"/>
    <mergeCell ref="B8:F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8.0"/>
    <col customWidth="1" min="3" max="3" width="14.0"/>
    <col customWidth="1" min="4" max="4" width="60.0"/>
    <col customWidth="1" min="5" max="26" width="8.71"/>
  </cols>
  <sheetData>
    <row r="1" ht="30.0" customHeight="1">
      <c r="A1" s="14" t="s">
        <v>87</v>
      </c>
      <c r="B1" s="2"/>
      <c r="C1" s="2"/>
      <c r="D1" s="2"/>
    </row>
    <row r="3" ht="25.5" customHeight="1">
      <c r="A3" s="15" t="s">
        <v>88</v>
      </c>
      <c r="B3" s="15" t="s">
        <v>89</v>
      </c>
      <c r="C3" s="15" t="s">
        <v>90</v>
      </c>
      <c r="D3" s="15" t="s">
        <v>91</v>
      </c>
    </row>
    <row r="4" ht="21.75" customHeight="1">
      <c r="A4" s="16" t="s">
        <v>92</v>
      </c>
      <c r="B4" s="17" t="s">
        <v>18</v>
      </c>
      <c r="C4" s="17" t="s">
        <v>93</v>
      </c>
      <c r="D4" s="17" t="s">
        <v>94</v>
      </c>
    </row>
    <row r="5" ht="21.75" customHeight="1">
      <c r="A5" s="18" t="s">
        <v>95</v>
      </c>
      <c r="B5" s="12" t="s">
        <v>96</v>
      </c>
      <c r="C5" s="12" t="s">
        <v>97</v>
      </c>
      <c r="D5" s="12" t="s">
        <v>98</v>
      </c>
    </row>
    <row r="6" ht="21.75" customHeight="1">
      <c r="A6" s="16" t="s">
        <v>99</v>
      </c>
      <c r="B6" s="19">
        <v>30000.0</v>
      </c>
      <c r="C6" s="17" t="s">
        <v>100</v>
      </c>
      <c r="D6" s="17" t="s">
        <v>101</v>
      </c>
    </row>
    <row r="7" ht="21.75" customHeight="1">
      <c r="A7" s="18" t="s">
        <v>102</v>
      </c>
      <c r="B7" s="20">
        <v>85000.0</v>
      </c>
      <c r="C7" s="12" t="s">
        <v>100</v>
      </c>
      <c r="D7" s="12" t="s">
        <v>103</v>
      </c>
    </row>
    <row r="8" ht="21.75" customHeight="1">
      <c r="A8" s="16" t="s">
        <v>104</v>
      </c>
      <c r="B8" s="19">
        <v>12000.0</v>
      </c>
      <c r="C8" s="17" t="s">
        <v>100</v>
      </c>
      <c r="D8" s="17" t="s">
        <v>105</v>
      </c>
    </row>
    <row r="9" ht="21.75" customHeight="1">
      <c r="A9" s="18" t="s">
        <v>106</v>
      </c>
      <c r="B9" s="20">
        <v>35000.0</v>
      </c>
      <c r="C9" s="12" t="s">
        <v>100</v>
      </c>
      <c r="D9" s="12" t="s">
        <v>107</v>
      </c>
    </row>
    <row r="10" ht="21.75" customHeight="1">
      <c r="A10" s="16" t="s">
        <v>108</v>
      </c>
      <c r="B10" s="19">
        <v>4500.0</v>
      </c>
      <c r="C10" s="17" t="s">
        <v>100</v>
      </c>
      <c r="D10" s="17" t="s">
        <v>109</v>
      </c>
    </row>
    <row r="11" ht="21.75" customHeight="1">
      <c r="A11" s="18" t="s">
        <v>110</v>
      </c>
      <c r="B11" s="20">
        <v>13000.0</v>
      </c>
      <c r="C11" s="12" t="s">
        <v>100</v>
      </c>
      <c r="D11" s="12" t="s">
        <v>111</v>
      </c>
    </row>
    <row r="12" ht="21.75" customHeight="1">
      <c r="A12" s="16" t="s">
        <v>112</v>
      </c>
      <c r="B12" s="17" t="s">
        <v>113</v>
      </c>
      <c r="C12" s="17" t="s">
        <v>114</v>
      </c>
      <c r="D12" s="17" t="s">
        <v>115</v>
      </c>
    </row>
    <row r="13" ht="21.75" customHeight="1">
      <c r="A13" s="18" t="s">
        <v>116</v>
      </c>
      <c r="B13" s="12" t="s">
        <v>117</v>
      </c>
      <c r="C13" s="12" t="s">
        <v>114</v>
      </c>
      <c r="D13" s="12" t="s">
        <v>118</v>
      </c>
    </row>
    <row r="14" ht="21.75" customHeight="1">
      <c r="A14" s="16" t="s">
        <v>119</v>
      </c>
      <c r="B14" s="17" t="s">
        <v>120</v>
      </c>
      <c r="C14" s="17" t="s">
        <v>114</v>
      </c>
      <c r="D14" s="17" t="s">
        <v>121</v>
      </c>
    </row>
    <row r="15" ht="21.75" customHeight="1">
      <c r="A15" s="18" t="s">
        <v>122</v>
      </c>
      <c r="B15" s="12" t="s">
        <v>123</v>
      </c>
      <c r="C15" s="12" t="s">
        <v>124</v>
      </c>
      <c r="D15" s="12" t="s">
        <v>125</v>
      </c>
    </row>
    <row r="16" ht="21.75" customHeight="1">
      <c r="A16" s="16" t="s">
        <v>126</v>
      </c>
      <c r="B16" s="17" t="s">
        <v>127</v>
      </c>
      <c r="C16" s="17" t="s">
        <v>128</v>
      </c>
      <c r="D16" s="17" t="s">
        <v>129</v>
      </c>
    </row>
    <row r="17" ht="21.75" customHeight="1">
      <c r="A17" s="18" t="s">
        <v>130</v>
      </c>
      <c r="B17" s="12" t="s">
        <v>131</v>
      </c>
      <c r="C17" s="12" t="s">
        <v>128</v>
      </c>
      <c r="D17" s="12" t="s">
        <v>132</v>
      </c>
    </row>
    <row r="18" ht="21.75" customHeight="1">
      <c r="A18" s="16" t="s">
        <v>133</v>
      </c>
      <c r="B18" s="17" t="s">
        <v>134</v>
      </c>
      <c r="C18" s="17" t="s">
        <v>128</v>
      </c>
      <c r="D18" s="17" t="s">
        <v>135</v>
      </c>
    </row>
    <row r="19" ht="21.75" customHeight="1">
      <c r="A19" s="18" t="s">
        <v>136</v>
      </c>
      <c r="B19" s="12" t="s">
        <v>137</v>
      </c>
      <c r="C19" s="12" t="s">
        <v>138</v>
      </c>
      <c r="D19" s="12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6.0"/>
    <col customWidth="1" min="2" max="2" width="20.0"/>
    <col customWidth="1" min="3" max="14" width="11.0"/>
    <col customWidth="1" min="15" max="15" width="15.0"/>
    <col customWidth="1" min="16" max="16" width="11.0"/>
    <col customWidth="1" min="17" max="26" width="8.71"/>
  </cols>
  <sheetData>
    <row r="1" ht="30.0" customHeight="1">
      <c r="A1" s="14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9.5" customHeight="1">
      <c r="A2" s="21" t="s">
        <v>141</v>
      </c>
    </row>
    <row r="4" ht="30.0" customHeight="1">
      <c r="A4" s="9" t="s">
        <v>142</v>
      </c>
      <c r="B4" s="9" t="s">
        <v>143</v>
      </c>
      <c r="C4" s="9" t="s">
        <v>144</v>
      </c>
      <c r="D4" s="9" t="s">
        <v>145</v>
      </c>
      <c r="E4" s="9" t="s">
        <v>146</v>
      </c>
      <c r="F4" s="9" t="s">
        <v>147</v>
      </c>
      <c r="G4" s="9" t="s">
        <v>148</v>
      </c>
      <c r="H4" s="9" t="s">
        <v>149</v>
      </c>
      <c r="I4" s="9" t="s">
        <v>150</v>
      </c>
      <c r="J4" s="9" t="s">
        <v>151</v>
      </c>
      <c r="K4" s="9" t="s">
        <v>152</v>
      </c>
      <c r="L4" s="9" t="s">
        <v>153</v>
      </c>
      <c r="M4" s="9" t="s">
        <v>154</v>
      </c>
      <c r="N4" s="9" t="s">
        <v>155</v>
      </c>
      <c r="O4" s="9" t="s">
        <v>156</v>
      </c>
      <c r="P4" s="9" t="s">
        <v>157</v>
      </c>
    </row>
    <row r="5" ht="15.0" customHeight="1">
      <c r="A5" s="22" t="s">
        <v>158</v>
      </c>
      <c r="B5" s="12" t="s">
        <v>159</v>
      </c>
      <c r="C5" s="23">
        <v>50.0</v>
      </c>
      <c r="D5" s="23">
        <v>600.0</v>
      </c>
      <c r="E5" s="23">
        <v>2000.0</v>
      </c>
      <c r="F5" s="23">
        <v>4500.0</v>
      </c>
      <c r="G5" s="23">
        <v>8000.0</v>
      </c>
      <c r="H5" s="23">
        <v>12000.0</v>
      </c>
      <c r="I5" s="23">
        <v>16000.0</v>
      </c>
      <c r="J5" s="23">
        <v>19000.0</v>
      </c>
      <c r="K5" s="23">
        <v>22000.0</v>
      </c>
      <c r="L5" s="23">
        <v>25000.0</v>
      </c>
      <c r="M5" s="23">
        <v>27500.0</v>
      </c>
      <c r="N5" s="23">
        <v>30000.0</v>
      </c>
      <c r="O5" s="24">
        <f>MAX(C5:N5)</f>
        <v>30000</v>
      </c>
      <c r="P5" s="25"/>
    </row>
    <row r="6">
      <c r="A6" s="26"/>
      <c r="B6" s="12" t="s">
        <v>160</v>
      </c>
      <c r="C6" s="27">
        <v>200.0</v>
      </c>
      <c r="D6" s="27">
        <v>220.0</v>
      </c>
      <c r="E6" s="27">
        <v>240.0</v>
      </c>
      <c r="F6" s="27">
        <v>250.0</v>
      </c>
      <c r="G6" s="27">
        <v>260.0</v>
      </c>
      <c r="H6" s="27">
        <v>275.0</v>
      </c>
      <c r="I6" s="27">
        <v>290.0</v>
      </c>
      <c r="J6" s="27">
        <v>300.0</v>
      </c>
      <c r="K6" s="27">
        <v>315.0</v>
      </c>
      <c r="L6" s="27">
        <v>325.0</v>
      </c>
      <c r="M6" s="27">
        <v>335.0</v>
      </c>
      <c r="N6" s="27">
        <v>350.0</v>
      </c>
      <c r="O6" s="28">
        <f>IFERROR(AVERAGEIF(C6:N6,"&gt;0"),0)</f>
        <v>280</v>
      </c>
      <c r="P6" s="25"/>
    </row>
    <row r="7">
      <c r="A7" s="26"/>
      <c r="B7" s="12" t="s">
        <v>161</v>
      </c>
      <c r="C7" s="29">
        <f>C5*1.5</f>
        <v>75</v>
      </c>
      <c r="D7" s="29">
        <f>D5*1.8</f>
        <v>1080</v>
      </c>
      <c r="E7" s="29">
        <f>E5*2</f>
        <v>4000</v>
      </c>
      <c r="F7" s="29">
        <f>F5*2.1</f>
        <v>9450</v>
      </c>
      <c r="G7" s="29">
        <f>G5*2.2</f>
        <v>17600</v>
      </c>
      <c r="H7" s="29">
        <f>H5*2.3</f>
        <v>27600</v>
      </c>
      <c r="I7" s="29">
        <f>I5*2.4</f>
        <v>38400</v>
      </c>
      <c r="J7" s="29">
        <f>J5*2.5</f>
        <v>47500</v>
      </c>
      <c r="K7" s="29">
        <f>K5*2.6</f>
        <v>57200</v>
      </c>
      <c r="L7" s="29">
        <f>L5*2.7</f>
        <v>67500</v>
      </c>
      <c r="M7" s="29">
        <f>M5*2.8</f>
        <v>77000</v>
      </c>
      <c r="N7" s="29">
        <f>N5*3</f>
        <v>90000</v>
      </c>
      <c r="O7" s="24">
        <f t="shared" ref="O7:O8" si="2">SUM(C7:N7)</f>
        <v>437405</v>
      </c>
      <c r="P7" s="25"/>
    </row>
    <row r="8">
      <c r="A8" s="26"/>
      <c r="B8" s="18" t="s">
        <v>162</v>
      </c>
      <c r="C8" s="28">
        <f t="shared" ref="C8:N8" si="1">C7*C6</f>
        <v>15000</v>
      </c>
      <c r="D8" s="28">
        <f t="shared" si="1"/>
        <v>237600</v>
      </c>
      <c r="E8" s="28">
        <f t="shared" si="1"/>
        <v>960000</v>
      </c>
      <c r="F8" s="28">
        <f t="shared" si="1"/>
        <v>2362500</v>
      </c>
      <c r="G8" s="28">
        <f t="shared" si="1"/>
        <v>4576000</v>
      </c>
      <c r="H8" s="28">
        <f t="shared" si="1"/>
        <v>7590000</v>
      </c>
      <c r="I8" s="28">
        <f t="shared" si="1"/>
        <v>11136000</v>
      </c>
      <c r="J8" s="28">
        <f t="shared" si="1"/>
        <v>14250000</v>
      </c>
      <c r="K8" s="28">
        <f t="shared" si="1"/>
        <v>18018000</v>
      </c>
      <c r="L8" s="28">
        <f t="shared" si="1"/>
        <v>21937500</v>
      </c>
      <c r="M8" s="28">
        <f t="shared" si="1"/>
        <v>25795000</v>
      </c>
      <c r="N8" s="28">
        <f t="shared" si="1"/>
        <v>31500000</v>
      </c>
      <c r="O8" s="30">
        <f t="shared" si="2"/>
        <v>138377600</v>
      </c>
      <c r="P8" s="31">
        <f>IFERROR(O8/O17,0)</f>
        <v>0.6465990092</v>
      </c>
    </row>
    <row r="9" ht="15.0" customHeight="1">
      <c r="A9" s="22" t="s">
        <v>163</v>
      </c>
      <c r="B9" s="12" t="s">
        <v>159</v>
      </c>
      <c r="C9" s="23">
        <v>30.0</v>
      </c>
      <c r="D9" s="23">
        <v>250.0</v>
      </c>
      <c r="E9" s="23">
        <v>800.0</v>
      </c>
      <c r="F9" s="23">
        <v>1800.0</v>
      </c>
      <c r="G9" s="23">
        <v>3200.0</v>
      </c>
      <c r="H9" s="23">
        <v>4800.0</v>
      </c>
      <c r="I9" s="23">
        <v>6500.0</v>
      </c>
      <c r="J9" s="23">
        <v>8000.0</v>
      </c>
      <c r="K9" s="23">
        <v>9500.0</v>
      </c>
      <c r="L9" s="23">
        <v>10500.0</v>
      </c>
      <c r="M9" s="23">
        <v>11500.0</v>
      </c>
      <c r="N9" s="23">
        <v>12000.0</v>
      </c>
      <c r="O9" s="24">
        <f>MAX(C9:N9)</f>
        <v>12000</v>
      </c>
      <c r="P9" s="25"/>
    </row>
    <row r="10">
      <c r="A10" s="26"/>
      <c r="B10" s="12" t="s">
        <v>160</v>
      </c>
      <c r="C10" s="27">
        <v>220.0</v>
      </c>
      <c r="D10" s="27">
        <v>230.0</v>
      </c>
      <c r="E10" s="27">
        <v>240.0</v>
      </c>
      <c r="F10" s="27">
        <v>245.0</v>
      </c>
      <c r="G10" s="27">
        <v>250.0</v>
      </c>
      <c r="H10" s="27">
        <v>260.0</v>
      </c>
      <c r="I10" s="27">
        <v>270.0</v>
      </c>
      <c r="J10" s="27">
        <v>280.0</v>
      </c>
      <c r="K10" s="27">
        <v>290.0</v>
      </c>
      <c r="L10" s="27">
        <v>300.0</v>
      </c>
      <c r="M10" s="27">
        <v>310.0</v>
      </c>
      <c r="N10" s="27">
        <v>320.0</v>
      </c>
      <c r="O10" s="28">
        <f>IFERROR(AVERAGEIF(C10:N10,"&gt;0"),0)</f>
        <v>267.9166667</v>
      </c>
      <c r="P10" s="25"/>
    </row>
    <row r="11">
      <c r="A11" s="26"/>
      <c r="B11" s="12" t="s">
        <v>161</v>
      </c>
      <c r="C11" s="29">
        <f>C9*1.4</f>
        <v>42</v>
      </c>
      <c r="D11" s="29">
        <f>D9*1.6</f>
        <v>400</v>
      </c>
      <c r="E11" s="29">
        <f>E9*1.8</f>
        <v>1440</v>
      </c>
      <c r="F11" s="29">
        <f>F9*1.9</f>
        <v>3420</v>
      </c>
      <c r="G11" s="29">
        <f>G9*2</f>
        <v>6400</v>
      </c>
      <c r="H11" s="29">
        <f>H9*2.1</f>
        <v>10080</v>
      </c>
      <c r="I11" s="29">
        <f>I9*2.2</f>
        <v>14300</v>
      </c>
      <c r="J11" s="29">
        <f>J9*2.3</f>
        <v>18400</v>
      </c>
      <c r="K11" s="29">
        <f>K9*2.4</f>
        <v>22800</v>
      </c>
      <c r="L11" s="29">
        <f t="shared" ref="L11:M11" si="3">L9*2.5</f>
        <v>26250</v>
      </c>
      <c r="M11" s="29">
        <f t="shared" si="3"/>
        <v>28750</v>
      </c>
      <c r="N11" s="29">
        <f>N9*2.6</f>
        <v>31200</v>
      </c>
      <c r="O11" s="24">
        <f t="shared" ref="O11:O12" si="5">SUM(C11:N11)</f>
        <v>163482</v>
      </c>
      <c r="P11" s="25"/>
    </row>
    <row r="12">
      <c r="A12" s="26"/>
      <c r="B12" s="18" t="s">
        <v>162</v>
      </c>
      <c r="C12" s="28">
        <f t="shared" ref="C12:N12" si="4">C11*C10</f>
        <v>9240</v>
      </c>
      <c r="D12" s="28">
        <f t="shared" si="4"/>
        <v>92000</v>
      </c>
      <c r="E12" s="28">
        <f t="shared" si="4"/>
        <v>345600</v>
      </c>
      <c r="F12" s="28">
        <f t="shared" si="4"/>
        <v>837900</v>
      </c>
      <c r="G12" s="28">
        <f t="shared" si="4"/>
        <v>1600000</v>
      </c>
      <c r="H12" s="28">
        <f t="shared" si="4"/>
        <v>2620800</v>
      </c>
      <c r="I12" s="28">
        <f t="shared" si="4"/>
        <v>3861000</v>
      </c>
      <c r="J12" s="28">
        <f t="shared" si="4"/>
        <v>5152000</v>
      </c>
      <c r="K12" s="28">
        <f t="shared" si="4"/>
        <v>6612000</v>
      </c>
      <c r="L12" s="28">
        <f t="shared" si="4"/>
        <v>7875000</v>
      </c>
      <c r="M12" s="28">
        <f t="shared" si="4"/>
        <v>8912500</v>
      </c>
      <c r="N12" s="28">
        <f t="shared" si="4"/>
        <v>9984000</v>
      </c>
      <c r="O12" s="30">
        <f t="shared" si="5"/>
        <v>47902040</v>
      </c>
      <c r="P12" s="31">
        <f>IFERROR(O12/O17,0)</f>
        <v>0.2238325538</v>
      </c>
    </row>
    <row r="13" ht="15.0" customHeight="1">
      <c r="A13" s="22" t="s">
        <v>164</v>
      </c>
      <c r="B13" s="12" t="s">
        <v>159</v>
      </c>
      <c r="C13" s="23">
        <v>20.0</v>
      </c>
      <c r="D13" s="23">
        <v>120.0</v>
      </c>
      <c r="E13" s="23">
        <v>350.0</v>
      </c>
      <c r="F13" s="23">
        <v>700.0</v>
      </c>
      <c r="G13" s="23">
        <v>1200.0</v>
      </c>
      <c r="H13" s="23">
        <v>1700.0</v>
      </c>
      <c r="I13" s="23">
        <v>2200.0</v>
      </c>
      <c r="J13" s="23">
        <v>2700.0</v>
      </c>
      <c r="K13" s="23">
        <v>3200.0</v>
      </c>
      <c r="L13" s="23">
        <v>3700.0</v>
      </c>
      <c r="M13" s="23">
        <v>4100.0</v>
      </c>
      <c r="N13" s="23">
        <v>4500.0</v>
      </c>
      <c r="O13" s="24">
        <f>MAX(C13:N13)</f>
        <v>4500</v>
      </c>
      <c r="P13" s="25"/>
    </row>
    <row r="14">
      <c r="A14" s="26"/>
      <c r="B14" s="12" t="s">
        <v>160</v>
      </c>
      <c r="C14" s="27">
        <v>450.0</v>
      </c>
      <c r="D14" s="27">
        <v>460.0</v>
      </c>
      <c r="E14" s="27">
        <v>470.0</v>
      </c>
      <c r="F14" s="27">
        <v>480.0</v>
      </c>
      <c r="G14" s="27">
        <v>500.0</v>
      </c>
      <c r="H14" s="27">
        <v>520.0</v>
      </c>
      <c r="I14" s="27">
        <v>540.0</v>
      </c>
      <c r="J14" s="27">
        <v>560.0</v>
      </c>
      <c r="K14" s="27">
        <v>580.0</v>
      </c>
      <c r="L14" s="27">
        <v>600.0</v>
      </c>
      <c r="M14" s="27">
        <v>625.0</v>
      </c>
      <c r="N14" s="27">
        <v>650.0</v>
      </c>
      <c r="O14" s="28">
        <f>IFERROR(AVERAGEIF(C14:N14,"&gt;0"),0)</f>
        <v>536.25</v>
      </c>
      <c r="P14" s="25"/>
    </row>
    <row r="15">
      <c r="A15" s="26"/>
      <c r="B15" s="12" t="s">
        <v>161</v>
      </c>
      <c r="C15" s="29">
        <f>C13*1.2</f>
        <v>24</v>
      </c>
      <c r="D15" s="29">
        <f>D13*1.4</f>
        <v>168</v>
      </c>
      <c r="E15" s="29">
        <f>E13*1.5</f>
        <v>525</v>
      </c>
      <c r="F15" s="29">
        <f>F13*1.6</f>
        <v>1120</v>
      </c>
      <c r="G15" s="29">
        <f>G13*1.7</f>
        <v>2040</v>
      </c>
      <c r="H15" s="29">
        <f t="shared" ref="H15:I15" si="6">H13*1.8</f>
        <v>3060</v>
      </c>
      <c r="I15" s="29">
        <f t="shared" si="6"/>
        <v>3960</v>
      </c>
      <c r="J15" s="29">
        <f t="shared" ref="J15:K15" si="7">J13*1.9</f>
        <v>5130</v>
      </c>
      <c r="K15" s="29">
        <f t="shared" si="7"/>
        <v>6080</v>
      </c>
      <c r="L15" s="29">
        <f t="shared" ref="L15:M15" si="8">L13*2</f>
        <v>7400</v>
      </c>
      <c r="M15" s="29">
        <f t="shared" si="8"/>
        <v>8200</v>
      </c>
      <c r="N15" s="29">
        <f>N13*2.1</f>
        <v>9450</v>
      </c>
      <c r="O15" s="24">
        <f t="shared" ref="O15:O17" si="10">SUM(C15:N15)</f>
        <v>47157</v>
      </c>
      <c r="P15" s="25"/>
    </row>
    <row r="16">
      <c r="A16" s="26"/>
      <c r="B16" s="18" t="s">
        <v>162</v>
      </c>
      <c r="C16" s="28">
        <f t="shared" ref="C16:N16" si="9">C15*C14</f>
        <v>10800</v>
      </c>
      <c r="D16" s="28">
        <f t="shared" si="9"/>
        <v>77280</v>
      </c>
      <c r="E16" s="28">
        <f t="shared" si="9"/>
        <v>246750</v>
      </c>
      <c r="F16" s="28">
        <f t="shared" si="9"/>
        <v>537600</v>
      </c>
      <c r="G16" s="28">
        <f t="shared" si="9"/>
        <v>1020000</v>
      </c>
      <c r="H16" s="28">
        <f t="shared" si="9"/>
        <v>1591200</v>
      </c>
      <c r="I16" s="28">
        <f t="shared" si="9"/>
        <v>2138400</v>
      </c>
      <c r="J16" s="28">
        <f t="shared" si="9"/>
        <v>2872800</v>
      </c>
      <c r="K16" s="28">
        <f t="shared" si="9"/>
        <v>3526400</v>
      </c>
      <c r="L16" s="28">
        <f t="shared" si="9"/>
        <v>4440000</v>
      </c>
      <c r="M16" s="28">
        <f t="shared" si="9"/>
        <v>5125000</v>
      </c>
      <c r="N16" s="28">
        <f t="shared" si="9"/>
        <v>6142500</v>
      </c>
      <c r="O16" s="30">
        <f t="shared" si="10"/>
        <v>27728730</v>
      </c>
      <c r="P16" s="31">
        <f>IFERROR(O16/O17,0)</f>
        <v>0.129568437</v>
      </c>
    </row>
    <row r="17" ht="15.0" customHeight="1">
      <c r="A17" s="32" t="s">
        <v>165</v>
      </c>
      <c r="B17" s="5"/>
      <c r="C17" s="33">
        <f t="shared" ref="C17:N17" si="11">C8+C12+C16</f>
        <v>35040</v>
      </c>
      <c r="D17" s="33">
        <f t="shared" si="11"/>
        <v>406880</v>
      </c>
      <c r="E17" s="33">
        <f t="shared" si="11"/>
        <v>1552350</v>
      </c>
      <c r="F17" s="33">
        <f t="shared" si="11"/>
        <v>3738000</v>
      </c>
      <c r="G17" s="33">
        <f t="shared" si="11"/>
        <v>7196000</v>
      </c>
      <c r="H17" s="33">
        <f t="shared" si="11"/>
        <v>11802000</v>
      </c>
      <c r="I17" s="33">
        <f t="shared" si="11"/>
        <v>17135400</v>
      </c>
      <c r="J17" s="33">
        <f t="shared" si="11"/>
        <v>22274800</v>
      </c>
      <c r="K17" s="33">
        <f t="shared" si="11"/>
        <v>28156400</v>
      </c>
      <c r="L17" s="33">
        <f t="shared" si="11"/>
        <v>34252500</v>
      </c>
      <c r="M17" s="33">
        <f t="shared" si="11"/>
        <v>39832500</v>
      </c>
      <c r="N17" s="33">
        <f t="shared" si="11"/>
        <v>47626500</v>
      </c>
      <c r="O17" s="33">
        <f t="shared" si="10"/>
        <v>214008370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P1"/>
    <mergeCell ref="A2:P2"/>
    <mergeCell ref="A5:A8"/>
    <mergeCell ref="A9:A12"/>
    <mergeCell ref="A13:A16"/>
    <mergeCell ref="A17:B1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2.0"/>
    <col customWidth="1" min="3" max="3" width="10.0"/>
    <col customWidth="1" min="4" max="5" width="12.0"/>
    <col customWidth="1" min="6" max="8" width="14.0"/>
    <col customWidth="1" min="9" max="11" width="16.0"/>
    <col customWidth="1" min="12" max="26" width="8.71"/>
  </cols>
  <sheetData>
    <row r="1" ht="30.0" customHeight="1">
      <c r="A1" s="14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9.5" customHeight="1">
      <c r="A2" s="21" t="s">
        <v>167</v>
      </c>
    </row>
    <row r="4" ht="27.75" customHeight="1">
      <c r="A4" s="9" t="s">
        <v>11</v>
      </c>
      <c r="B4" s="9" t="s">
        <v>13</v>
      </c>
      <c r="C4" s="9" t="s">
        <v>15</v>
      </c>
      <c r="D4" s="9" t="s">
        <v>168</v>
      </c>
      <c r="E4" s="9" t="s">
        <v>169</v>
      </c>
      <c r="F4" s="9" t="s">
        <v>170</v>
      </c>
      <c r="G4" s="9" t="s">
        <v>171</v>
      </c>
      <c r="H4" s="9" t="s">
        <v>172</v>
      </c>
      <c r="I4" s="9" t="s">
        <v>173</v>
      </c>
      <c r="J4" s="9" t="s">
        <v>174</v>
      </c>
      <c r="K4" s="9" t="s">
        <v>175</v>
      </c>
    </row>
    <row r="5">
      <c r="A5" s="10" t="s">
        <v>17</v>
      </c>
      <c r="B5" s="34" t="s">
        <v>19</v>
      </c>
      <c r="C5" s="10" t="s">
        <v>21</v>
      </c>
      <c r="D5" s="35">
        <v>960000.0</v>
      </c>
      <c r="E5" s="35">
        <v>7590000.0</v>
      </c>
      <c r="F5" s="35">
        <v>3.15E7</v>
      </c>
      <c r="G5" s="35">
        <v>5.5E7</v>
      </c>
      <c r="H5" s="35">
        <v>8.2E7</v>
      </c>
      <c r="I5" s="35">
        <v>1.383776E8</v>
      </c>
      <c r="J5" s="35">
        <v>7.8E8</v>
      </c>
      <c r="K5" s="36">
        <f t="shared" ref="K5:K22" si="1">I5+J5</f>
        <v>918377600</v>
      </c>
    </row>
    <row r="6">
      <c r="A6" s="10" t="s">
        <v>17</v>
      </c>
      <c r="B6" s="34" t="s">
        <v>23</v>
      </c>
      <c r="C6" s="10" t="s">
        <v>25</v>
      </c>
      <c r="D6" s="35">
        <v>345600.0</v>
      </c>
      <c r="E6" s="35">
        <v>2620800.0</v>
      </c>
      <c r="F6" s="35">
        <v>9984000.0</v>
      </c>
      <c r="G6" s="35">
        <v>2.4E7</v>
      </c>
      <c r="H6" s="35">
        <v>4.8E7</v>
      </c>
      <c r="I6" s="35">
        <v>4.790204E7</v>
      </c>
      <c r="J6" s="35">
        <v>3.6E8</v>
      </c>
      <c r="K6" s="36">
        <f t="shared" si="1"/>
        <v>407902040</v>
      </c>
    </row>
    <row r="7">
      <c r="A7" s="10" t="s">
        <v>17</v>
      </c>
      <c r="B7" s="34" t="s">
        <v>27</v>
      </c>
      <c r="C7" s="10" t="s">
        <v>29</v>
      </c>
      <c r="D7" s="35">
        <v>246750.0</v>
      </c>
      <c r="E7" s="35">
        <v>1591200.0</v>
      </c>
      <c r="F7" s="35">
        <v>6142500.0</v>
      </c>
      <c r="G7" s="35">
        <v>9500000.0</v>
      </c>
      <c r="H7" s="35">
        <v>1.6E7</v>
      </c>
      <c r="I7" s="35">
        <v>2.772873E7</v>
      </c>
      <c r="J7" s="35">
        <v>1.3E8</v>
      </c>
      <c r="K7" s="36">
        <f t="shared" si="1"/>
        <v>157728730</v>
      </c>
    </row>
    <row r="8">
      <c r="A8" s="11" t="s">
        <v>30</v>
      </c>
      <c r="B8" s="37" t="s">
        <v>32</v>
      </c>
      <c r="C8" s="11" t="s">
        <v>34</v>
      </c>
      <c r="D8" s="38">
        <v>0.0</v>
      </c>
      <c r="E8" s="38">
        <v>0.0</v>
      </c>
      <c r="F8" s="38">
        <v>6800000.0</v>
      </c>
      <c r="G8" s="38">
        <v>1.8E7</v>
      </c>
      <c r="H8" s="38">
        <v>3.5E7</v>
      </c>
      <c r="I8" s="38">
        <v>7500000.0</v>
      </c>
      <c r="J8" s="38">
        <v>2.6E8</v>
      </c>
      <c r="K8" s="39">
        <f t="shared" si="1"/>
        <v>267500000</v>
      </c>
    </row>
    <row r="9">
      <c r="A9" s="11" t="s">
        <v>30</v>
      </c>
      <c r="B9" s="37" t="s">
        <v>37</v>
      </c>
      <c r="C9" s="11" t="s">
        <v>39</v>
      </c>
      <c r="D9" s="38">
        <v>0.0</v>
      </c>
      <c r="E9" s="38">
        <v>0.0</v>
      </c>
      <c r="F9" s="38">
        <v>4500000.0</v>
      </c>
      <c r="G9" s="38">
        <v>1.4E7</v>
      </c>
      <c r="H9" s="38">
        <v>2.8E7</v>
      </c>
      <c r="I9" s="38">
        <v>4000000.0</v>
      </c>
      <c r="J9" s="38">
        <v>2.05E8</v>
      </c>
      <c r="K9" s="39">
        <f t="shared" si="1"/>
        <v>209000000</v>
      </c>
    </row>
    <row r="10">
      <c r="A10" s="11" t="s">
        <v>30</v>
      </c>
      <c r="B10" s="37" t="s">
        <v>41</v>
      </c>
      <c r="C10" s="11" t="s">
        <v>43</v>
      </c>
      <c r="D10" s="38">
        <v>0.0</v>
      </c>
      <c r="E10" s="38">
        <v>0.0</v>
      </c>
      <c r="F10" s="38">
        <v>2800000.0</v>
      </c>
      <c r="G10" s="38">
        <v>8500000.0</v>
      </c>
      <c r="H10" s="38">
        <v>1.55E7</v>
      </c>
      <c r="I10" s="38">
        <v>2500000.0</v>
      </c>
      <c r="J10" s="38">
        <v>1.25E8</v>
      </c>
      <c r="K10" s="39">
        <f t="shared" si="1"/>
        <v>127500000</v>
      </c>
    </row>
    <row r="11">
      <c r="A11" s="11" t="s">
        <v>30</v>
      </c>
      <c r="B11" s="37" t="s">
        <v>45</v>
      </c>
      <c r="C11" s="11" t="s">
        <v>47</v>
      </c>
      <c r="D11" s="38">
        <v>0.0</v>
      </c>
      <c r="E11" s="38">
        <v>0.0</v>
      </c>
      <c r="F11" s="38">
        <v>1400000.0</v>
      </c>
      <c r="G11" s="38">
        <v>4200000.0</v>
      </c>
      <c r="H11" s="38">
        <v>8000000.0</v>
      </c>
      <c r="I11" s="38">
        <v>1200000.0</v>
      </c>
      <c r="J11" s="38">
        <v>6.2E7</v>
      </c>
      <c r="K11" s="39">
        <f t="shared" si="1"/>
        <v>63200000</v>
      </c>
    </row>
    <row r="12">
      <c r="A12" s="12" t="s">
        <v>48</v>
      </c>
      <c r="B12" s="18" t="s">
        <v>50</v>
      </c>
      <c r="C12" s="12" t="s">
        <v>52</v>
      </c>
      <c r="D12" s="27">
        <v>0.0</v>
      </c>
      <c r="E12" s="27">
        <v>0.0</v>
      </c>
      <c r="F12" s="27">
        <v>0.0</v>
      </c>
      <c r="G12" s="27">
        <v>2500000.0</v>
      </c>
      <c r="H12" s="27">
        <v>6500000.0</v>
      </c>
      <c r="I12" s="27">
        <v>0.0</v>
      </c>
      <c r="J12" s="27">
        <v>4.8E7</v>
      </c>
      <c r="K12" s="40">
        <f t="shared" si="1"/>
        <v>48000000</v>
      </c>
    </row>
    <row r="13">
      <c r="A13" s="12" t="s">
        <v>48</v>
      </c>
      <c r="B13" s="18" t="s">
        <v>54</v>
      </c>
      <c r="C13" s="12" t="s">
        <v>56</v>
      </c>
      <c r="D13" s="27">
        <v>0.0</v>
      </c>
      <c r="E13" s="27">
        <v>0.0</v>
      </c>
      <c r="F13" s="27">
        <v>0.0</v>
      </c>
      <c r="G13" s="27">
        <v>2200000.0</v>
      </c>
      <c r="H13" s="27">
        <v>5800000.0</v>
      </c>
      <c r="I13" s="27">
        <v>0.0</v>
      </c>
      <c r="J13" s="27">
        <v>4.2E7</v>
      </c>
      <c r="K13" s="40">
        <f t="shared" si="1"/>
        <v>42000000</v>
      </c>
    </row>
    <row r="14">
      <c r="A14" s="12" t="s">
        <v>48</v>
      </c>
      <c r="B14" s="18" t="s">
        <v>58</v>
      </c>
      <c r="C14" s="12" t="s">
        <v>60</v>
      </c>
      <c r="D14" s="27">
        <v>0.0</v>
      </c>
      <c r="E14" s="27">
        <v>0.0</v>
      </c>
      <c r="F14" s="27">
        <v>0.0</v>
      </c>
      <c r="G14" s="27">
        <v>1600000.0</v>
      </c>
      <c r="H14" s="27">
        <v>4200000.0</v>
      </c>
      <c r="I14" s="27">
        <v>0.0</v>
      </c>
      <c r="J14" s="27">
        <v>3.0E7</v>
      </c>
      <c r="K14" s="40">
        <f t="shared" si="1"/>
        <v>30000000</v>
      </c>
    </row>
    <row r="15">
      <c r="A15" s="12" t="s">
        <v>48</v>
      </c>
      <c r="B15" s="18" t="s">
        <v>61</v>
      </c>
      <c r="C15" s="12" t="s">
        <v>63</v>
      </c>
      <c r="D15" s="27">
        <v>0.0</v>
      </c>
      <c r="E15" s="27">
        <v>0.0</v>
      </c>
      <c r="F15" s="27">
        <v>0.0</v>
      </c>
      <c r="G15" s="27">
        <v>1400000.0</v>
      </c>
      <c r="H15" s="27">
        <v>3600000.0</v>
      </c>
      <c r="I15" s="27">
        <v>0.0</v>
      </c>
      <c r="J15" s="27">
        <v>2.5E7</v>
      </c>
      <c r="K15" s="40">
        <f t="shared" si="1"/>
        <v>25000000</v>
      </c>
    </row>
    <row r="16">
      <c r="A16" s="12" t="s">
        <v>48</v>
      </c>
      <c r="B16" s="18" t="s">
        <v>65</v>
      </c>
      <c r="C16" s="12" t="s">
        <v>67</v>
      </c>
      <c r="D16" s="27">
        <v>0.0</v>
      </c>
      <c r="E16" s="27">
        <v>0.0</v>
      </c>
      <c r="F16" s="27">
        <v>0.0</v>
      </c>
      <c r="G16" s="27">
        <v>700000.0</v>
      </c>
      <c r="H16" s="27">
        <v>2000000.0</v>
      </c>
      <c r="I16" s="27">
        <v>0.0</v>
      </c>
      <c r="J16" s="27">
        <v>1.4E7</v>
      </c>
      <c r="K16" s="40">
        <f t="shared" si="1"/>
        <v>14000000</v>
      </c>
    </row>
    <row r="17">
      <c r="A17" s="12" t="s">
        <v>48</v>
      </c>
      <c r="B17" s="18" t="s">
        <v>68</v>
      </c>
      <c r="C17" s="12" t="s">
        <v>70</v>
      </c>
      <c r="D17" s="27">
        <v>0.0</v>
      </c>
      <c r="E17" s="27">
        <v>0.0</v>
      </c>
      <c r="F17" s="27">
        <v>0.0</v>
      </c>
      <c r="G17" s="27">
        <v>800000.0</v>
      </c>
      <c r="H17" s="27">
        <v>2200000.0</v>
      </c>
      <c r="I17" s="27">
        <v>0.0</v>
      </c>
      <c r="J17" s="27">
        <v>1.55E7</v>
      </c>
      <c r="K17" s="40">
        <f t="shared" si="1"/>
        <v>15500000</v>
      </c>
    </row>
    <row r="18">
      <c r="A18" s="12" t="s">
        <v>48</v>
      </c>
      <c r="B18" s="18" t="s">
        <v>71</v>
      </c>
      <c r="C18" s="12" t="s">
        <v>73</v>
      </c>
      <c r="D18" s="27">
        <v>0.0</v>
      </c>
      <c r="E18" s="27">
        <v>0.0</v>
      </c>
      <c r="F18" s="27">
        <v>0.0</v>
      </c>
      <c r="G18" s="27">
        <v>900000.0</v>
      </c>
      <c r="H18" s="27">
        <v>2400000.0</v>
      </c>
      <c r="I18" s="27">
        <v>0.0</v>
      </c>
      <c r="J18" s="27">
        <v>1.7E7</v>
      </c>
      <c r="K18" s="40">
        <f t="shared" si="1"/>
        <v>17000000</v>
      </c>
    </row>
    <row r="19">
      <c r="A19" s="12" t="s">
        <v>48</v>
      </c>
      <c r="B19" s="18" t="s">
        <v>74</v>
      </c>
      <c r="C19" s="12" t="s">
        <v>76</v>
      </c>
      <c r="D19" s="27">
        <v>0.0</v>
      </c>
      <c r="E19" s="27">
        <v>0.0</v>
      </c>
      <c r="F19" s="27">
        <v>0.0</v>
      </c>
      <c r="G19" s="27">
        <v>1200000.0</v>
      </c>
      <c r="H19" s="27">
        <v>3200000.0</v>
      </c>
      <c r="I19" s="27">
        <v>0.0</v>
      </c>
      <c r="J19" s="27">
        <v>2.25E7</v>
      </c>
      <c r="K19" s="40">
        <f t="shared" si="1"/>
        <v>22500000</v>
      </c>
    </row>
    <row r="20">
      <c r="A20" s="12" t="s">
        <v>48</v>
      </c>
      <c r="B20" s="18" t="s">
        <v>77</v>
      </c>
      <c r="C20" s="12" t="s">
        <v>79</v>
      </c>
      <c r="D20" s="27">
        <v>0.0</v>
      </c>
      <c r="E20" s="27">
        <v>0.0</v>
      </c>
      <c r="F20" s="27">
        <v>0.0</v>
      </c>
      <c r="G20" s="27">
        <v>750000.0</v>
      </c>
      <c r="H20" s="27">
        <v>2000000.0</v>
      </c>
      <c r="I20" s="27">
        <v>0.0</v>
      </c>
      <c r="J20" s="27">
        <v>1.4E7</v>
      </c>
      <c r="K20" s="40">
        <f t="shared" si="1"/>
        <v>14000000</v>
      </c>
    </row>
    <row r="21" ht="15.75" customHeight="1">
      <c r="A21" s="12" t="s">
        <v>48</v>
      </c>
      <c r="B21" s="18" t="s">
        <v>80</v>
      </c>
      <c r="C21" s="12" t="s">
        <v>82</v>
      </c>
      <c r="D21" s="27">
        <v>0.0</v>
      </c>
      <c r="E21" s="27">
        <v>0.0</v>
      </c>
      <c r="F21" s="27">
        <v>0.0</v>
      </c>
      <c r="G21" s="27">
        <v>950000.0</v>
      </c>
      <c r="H21" s="27">
        <v>2500000.0</v>
      </c>
      <c r="I21" s="27">
        <v>0.0</v>
      </c>
      <c r="J21" s="27">
        <v>1.75E7</v>
      </c>
      <c r="K21" s="40">
        <f t="shared" si="1"/>
        <v>17500000</v>
      </c>
    </row>
    <row r="22" ht="15.75" customHeight="1">
      <c r="A22" s="12" t="s">
        <v>48</v>
      </c>
      <c r="B22" s="18" t="s">
        <v>83</v>
      </c>
      <c r="C22" s="12" t="s">
        <v>85</v>
      </c>
      <c r="D22" s="27">
        <v>0.0</v>
      </c>
      <c r="E22" s="27">
        <v>0.0</v>
      </c>
      <c r="F22" s="27">
        <v>0.0</v>
      </c>
      <c r="G22" s="27">
        <v>1100000.0</v>
      </c>
      <c r="H22" s="27">
        <v>3000000.0</v>
      </c>
      <c r="I22" s="27">
        <v>0.0</v>
      </c>
      <c r="J22" s="27">
        <v>2.1E7</v>
      </c>
      <c r="K22" s="40">
        <f t="shared" si="1"/>
        <v>21000000</v>
      </c>
    </row>
    <row r="23" ht="26.25" customHeight="1">
      <c r="A23" s="32" t="s">
        <v>176</v>
      </c>
      <c r="B23" s="5"/>
      <c r="C23" s="5"/>
      <c r="D23" s="41">
        <f t="shared" ref="D23:K23" si="2">SUM(D5:D22)</f>
        <v>1552350</v>
      </c>
      <c r="E23" s="41">
        <f t="shared" si="2"/>
        <v>11802000</v>
      </c>
      <c r="F23" s="41">
        <f t="shared" si="2"/>
        <v>63126500</v>
      </c>
      <c r="G23" s="41">
        <f t="shared" si="2"/>
        <v>147300000</v>
      </c>
      <c r="H23" s="41">
        <f t="shared" si="2"/>
        <v>269900000</v>
      </c>
      <c r="I23" s="41">
        <f t="shared" si="2"/>
        <v>229208370</v>
      </c>
      <c r="J23" s="41">
        <f t="shared" si="2"/>
        <v>2188500000</v>
      </c>
      <c r="K23" s="41">
        <f t="shared" si="2"/>
        <v>2417708370</v>
      </c>
    </row>
    <row r="24" ht="15.75" customHeight="1"/>
    <row r="25" ht="15.0" customHeight="1">
      <c r="A25" s="42" t="s">
        <v>177</v>
      </c>
      <c r="B25" s="5"/>
      <c r="C25" s="5"/>
      <c r="D25" s="5"/>
      <c r="E25" s="5"/>
      <c r="F25" s="43">
        <f>F23*12</f>
        <v>757518000</v>
      </c>
      <c r="G25" s="44"/>
    </row>
    <row r="26" ht="26.25" customHeight="1">
      <c r="A26" s="42" t="s">
        <v>178</v>
      </c>
      <c r="B26" s="5"/>
      <c r="C26" s="5"/>
      <c r="D26" s="5"/>
      <c r="E26" s="5"/>
      <c r="F26" s="5"/>
      <c r="G26" s="5"/>
      <c r="H26" s="43">
        <f>H23*12</f>
        <v>3238800000</v>
      </c>
      <c r="I26" s="4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K1"/>
    <mergeCell ref="A2:K2"/>
    <mergeCell ref="A23:C23"/>
    <mergeCell ref="A25:E25"/>
    <mergeCell ref="G25:K25"/>
    <mergeCell ref="A26:G26"/>
    <mergeCell ref="I26:K2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8.0"/>
    <col customWidth="1" min="3" max="3" width="26.0"/>
    <col customWidth="1" min="4" max="4" width="20.0"/>
    <col customWidth="1" min="5" max="5" width="50.0"/>
    <col customWidth="1" min="6" max="26" width="8.71"/>
  </cols>
  <sheetData>
    <row r="1" ht="30.0" customHeight="1">
      <c r="A1" s="14" t="s">
        <v>179</v>
      </c>
      <c r="B1" s="2"/>
      <c r="C1" s="2"/>
      <c r="D1" s="2"/>
      <c r="E1" s="2"/>
    </row>
    <row r="2" ht="19.5" customHeight="1">
      <c r="A2" s="21" t="s">
        <v>180</v>
      </c>
    </row>
    <row r="4" ht="30.0" customHeight="1">
      <c r="A4" s="9" t="s">
        <v>181</v>
      </c>
      <c r="B4" s="9" t="s">
        <v>182</v>
      </c>
      <c r="C4" s="9" t="s">
        <v>183</v>
      </c>
      <c r="D4" s="9" t="s">
        <v>184</v>
      </c>
      <c r="E4" s="9" t="s">
        <v>185</v>
      </c>
    </row>
    <row r="5" ht="33.75" customHeight="1">
      <c r="A5" s="18" t="s">
        <v>186</v>
      </c>
      <c r="B5" s="12" t="s">
        <v>187</v>
      </c>
      <c r="C5" s="45" t="s">
        <v>188</v>
      </c>
      <c r="D5" s="45" t="s">
        <v>189</v>
      </c>
      <c r="E5" s="12" t="s">
        <v>190</v>
      </c>
    </row>
    <row r="6" ht="33.75" customHeight="1">
      <c r="A6" s="18" t="s">
        <v>191</v>
      </c>
      <c r="B6" s="12" t="s">
        <v>192</v>
      </c>
      <c r="C6" s="45" t="s">
        <v>193</v>
      </c>
      <c r="D6" s="45" t="s">
        <v>194</v>
      </c>
      <c r="E6" s="12" t="s">
        <v>195</v>
      </c>
    </row>
    <row r="7" ht="33.75" customHeight="1">
      <c r="A7" s="18" t="s">
        <v>196</v>
      </c>
      <c r="B7" s="12" t="s">
        <v>197</v>
      </c>
      <c r="C7" s="45" t="s">
        <v>198</v>
      </c>
      <c r="D7" s="45" t="s">
        <v>199</v>
      </c>
      <c r="E7" s="12" t="s">
        <v>200</v>
      </c>
    </row>
    <row r="8" ht="33.75" customHeight="1">
      <c r="A8" s="18" t="s">
        <v>201</v>
      </c>
      <c r="B8" s="12" t="s">
        <v>202</v>
      </c>
      <c r="C8" s="45" t="s">
        <v>203</v>
      </c>
      <c r="D8" s="45" t="s">
        <v>204</v>
      </c>
      <c r="E8" s="12" t="s">
        <v>205</v>
      </c>
    </row>
    <row r="9" ht="33.75" customHeight="1">
      <c r="A9" s="18" t="s">
        <v>206</v>
      </c>
      <c r="B9" s="12" t="s">
        <v>207</v>
      </c>
      <c r="C9" s="45" t="s">
        <v>208</v>
      </c>
      <c r="D9" s="45" t="s">
        <v>209</v>
      </c>
      <c r="E9" s="12" t="s">
        <v>210</v>
      </c>
    </row>
    <row r="12" ht="15.0" customHeight="1">
      <c r="A12" s="46" t="s">
        <v>211</v>
      </c>
      <c r="B12" s="5"/>
      <c r="C12" s="5"/>
      <c r="D12" s="5"/>
      <c r="E12" s="6"/>
    </row>
    <row r="13" ht="31.5" customHeight="1">
      <c r="A13" s="34" t="s">
        <v>212</v>
      </c>
      <c r="B13" s="47" t="s">
        <v>213</v>
      </c>
      <c r="C13" s="5"/>
      <c r="D13" s="5"/>
      <c r="E13" s="6"/>
    </row>
    <row r="14" ht="31.5" customHeight="1">
      <c r="A14" s="34" t="s">
        <v>214</v>
      </c>
      <c r="B14" s="47" t="s">
        <v>215</v>
      </c>
      <c r="C14" s="5"/>
      <c r="D14" s="5"/>
      <c r="E14" s="6"/>
    </row>
    <row r="15" ht="31.5" customHeight="1">
      <c r="A15" s="34" t="s">
        <v>216</v>
      </c>
      <c r="B15" s="47" t="s">
        <v>217</v>
      </c>
      <c r="C15" s="5"/>
      <c r="D15" s="5"/>
      <c r="E15" s="6"/>
    </row>
    <row r="16" ht="31.5" customHeight="1">
      <c r="A16" s="34" t="s">
        <v>218</v>
      </c>
      <c r="B16" s="47" t="s">
        <v>219</v>
      </c>
      <c r="C16" s="5"/>
      <c r="D16" s="5"/>
      <c r="E16" s="6"/>
    </row>
    <row r="17" ht="31.5" customHeight="1">
      <c r="A17" s="34" t="s">
        <v>220</v>
      </c>
      <c r="B17" s="47" t="s">
        <v>221</v>
      </c>
      <c r="C17" s="5"/>
      <c r="D17" s="5"/>
      <c r="E17" s="6"/>
    </row>
    <row r="18" ht="31.5" customHeight="1">
      <c r="A18" s="34" t="s">
        <v>222</v>
      </c>
      <c r="B18" s="47" t="s">
        <v>223</v>
      </c>
      <c r="C18" s="5"/>
      <c r="D18" s="5"/>
      <c r="E18" s="6"/>
    </row>
    <row r="19" ht="31.5" customHeight="1">
      <c r="A19" s="34" t="s">
        <v>224</v>
      </c>
      <c r="B19" s="47" t="s">
        <v>225</v>
      </c>
      <c r="C19" s="5"/>
      <c r="D19" s="5"/>
      <c r="E19" s="6"/>
    </row>
    <row r="20" ht="31.5" customHeight="1">
      <c r="A20" s="34" t="s">
        <v>226</v>
      </c>
      <c r="B20" s="47" t="s">
        <v>227</v>
      </c>
      <c r="C20" s="5"/>
      <c r="D20" s="5"/>
      <c r="E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7:E17"/>
    <mergeCell ref="B18:E18"/>
    <mergeCell ref="B19:E19"/>
    <mergeCell ref="B20:E20"/>
    <mergeCell ref="A1:E1"/>
    <mergeCell ref="A2:E2"/>
    <mergeCell ref="A12:E12"/>
    <mergeCell ref="B13:E13"/>
    <mergeCell ref="B14:E14"/>
    <mergeCell ref="B15:E15"/>
    <mergeCell ref="B16:E1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2026-04-17T09:52:42Z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