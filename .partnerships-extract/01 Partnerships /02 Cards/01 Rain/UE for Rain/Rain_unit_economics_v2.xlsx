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 UE" sheetId="1" r:id="rId4"/>
    <sheet state="visible" name="Fixed Costs (12-mo)" sheetId="2" r:id="rId5"/>
  </sheets>
  <definedNames/>
  <calcPr/>
  <extLst>
    <ext uri="GoogleSheetsCustomDataVersion2">
      <go:sheetsCustomData xmlns:go="http://customooxmlschemas.google.com/" r:id="rId6" roundtripDataChecksum="s4P90SP6eMmKH3TPqsvGWt8TLBfUnbItX1hEQxFHeT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======
ID#AAAB-rGqAJU
Unknown Author    (2026-06-29 09:46:15)
Contract: $30.00 per case.</t>
      </text>
    </comment>
    <comment authorId="0" ref="B19">
      <text>
        <t xml:space="preserve">======
ID#AAAB-rGqAJs
Unknown Author    (2026-06-29 09:46:15)
Disputes $30/case (contract). Set expected rate.</t>
      </text>
    </comment>
    <comment authorId="0" ref="B18">
      <text>
        <t xml:space="preserve">======
ID#AAAB-rGqAJ0
Unknown Author    (2026-06-29 09:46:15)
Loay: industry blended ~$0.005-0.015/tx. David Henry: expect HIGH on intl ad-driven spend. Program Losses clause: Mal bears 100%.</t>
      </text>
    </comment>
    <comment authorId="0" ref="A48">
      <text>
        <t xml:space="preserve">======
ID#AAAB-rGqAJA
Unknown Author    (2026-06-29 09:46:14)
Flat cost / net-interchange %. Below this ticket size the tx loses money (USD column). Answers Amine's $10-tx concern.</t>
      </text>
    </comment>
    <comment authorId="0" ref="B17">
      <text>
        <t xml:space="preserve">======
ID#AAAB-rGqAIA
Unknown Author    (2026-06-29 09:46:14)
Loay: ~20% of volume. For blended cost.</t>
      </text>
    </comment>
    <comment authorId="0" ref="B16">
      <text>
        <t xml:space="preserve">======
ID#AAAB-rGqAJI
Unknown Author    (2026-06-29 09:46:15)
Share of tx via Apple/Google Pay. For blended cost. Confirm.</t>
      </text>
    </comment>
    <comment authorId="0" ref="B15">
      <text>
        <t xml:space="preserve">======
ID#AAAB-rGqAIk
Unknown Author    (2026-06-29 09:46:14)
Loay: fires only on issuer-challenged e-comm (~20% of vol), not every tx.</t>
      </text>
    </comment>
    <comment authorId="0" ref="C48">
      <text>
        <t xml:space="preserve">======
ID#AAAB-rGqAIc
Akshay Kulkarni    (2026-06-29 09:46:14)
Int'l breakeven: (per-tx fixed cost) / (net interchange + customer x-border fee net of Rain 20% − ISA). Returns 'n/a' if net revenue rate ≤ 0 (i.e., customer fee can't cover ISA at all).</t>
      </text>
    </comment>
    <comment authorId="0" ref="B14">
      <text>
        <t xml:space="preserve">======
ID#AAAB-rGqAIY
Unknown Author    (2026-06-29 09:46:14)
Loay: applies to Apple/Google Pay tx only, not all.</t>
      </text>
    </comment>
    <comment authorId="0" ref="B12">
      <text>
        <t xml:space="preserve">======
ID#AAAB-rGqAJE
Unknown Author    (2026-06-29 09:46:15)
Contract: configured fees subject to Signify 20% service fee. Base to confirm with Adrian (Akshay owns scope). NOTE: a 1% intl fee only nets 0.8% after this, so does not fully cover a 1% ISA.</t>
      </text>
    </comment>
    <comment authorId="0" ref="B11">
      <text>
        <t xml:space="preserve">======
ID#AAAB-rGqAII
Unknown Author    (2026-06-29 09:46:14)
Day 1 = 0. Phase 2.</t>
      </text>
    </comment>
    <comment authorId="0" ref="B10">
      <text>
        <t xml:space="preserve">======
ID#AAAB-rGqAJo
Unknown Author    (2026-06-29 09:46:15)
Day 1 = 0 (no FX engine). Phase 2 unlock via own FX engine / stablecoin treasury. Subject to Rain 20% service fee.</t>
      </text>
    </comment>
    <comment authorId="0" ref="B9">
      <text>
        <t xml:space="preserve">======
ID#AAAB-rGqAJc
Unknown Author    (2026-06-29 09:46:15)
Contract: 1% ISA where merchant outside US OR currency non-USD. Invoiced monthly or applied at POS.</t>
      </text>
    </comment>
    <comment authorId="0" ref="B8">
      <text>
        <t xml:space="preserve">======
ID#AAAB-rGqAIg
Unknown Author    (2026-06-29 09:46:14)
UNRESOLVED. Loay: majority USD-to-USD subscriptions (no FX/ISA). David Henry (CPO): POS spend is ~99.9% FX since Mal doesn't serve US. This split drives everything.</t>
      </text>
    </comment>
    <comment authorId="0" ref="B7">
      <text>
        <t xml:space="preserve">======
ID#AAAB-rGqAIs
Unknown Author    (2026-06-29 09:46:14)
Test 100 / 20 / 10. Amine: at $10 tx we lose money — see breakeven ticket below.</t>
      </text>
    </comment>
    <comment authorId="0" ref="B6">
      <text>
        <t xml:space="preserve">======
ID#AAAB-rGqAI8
Unknown Author    (2026-06-29 09:46:14)
Schedule 2 tier 1: 70% (0-10M MGV), 75% (10-25M), 80% (25M+). Paid GROSS monthly; network fees invoiced separately.</t>
      </text>
    </comment>
    <comment authorId="0" ref="A37">
      <text>
        <t xml:space="preserve">======
ID#AAAB-rGqAIo
Unknown Author    (2026-06-29 09:46:14)
Loay's incidence-weighted view: tokenization only on wallet tx, 3DS only on challenged e-comm.</t>
      </text>
    </comment>
    <comment authorId="0" ref="B5">
      <text>
        <t xml:space="preserve">======
ID#AAAB-rGqAJM
Unknown Author    (2026-06-29 09:46:15)
Schedule 2: Platinum ~1.80%, Signature/Infinite ~1.97%. Kay: credit BINs avg ~2.00%. Reviewed sheet used 1.20% (too low). Range 1.80-2.00%.</t>
      </text>
    </comment>
  </commentList>
  <extLst>
    <ext uri="GoogleSheetsCustomDataVersion2">
      <go:sheetsCustomData xmlns:go="http://customooxmlschemas.google.com/" r:id="rId1" roundtripDataSignature="AMtx7mhlnk07idWZMa6UJlsDT66GWx+lN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======
ID#AAAB-rGqAJw
Unknown Author    (2026-06-29 09:46:15)
Linked from Transaction UE inputs.</t>
      </text>
    </comment>
    <comment authorId="0" ref="B21">
      <text>
        <t xml:space="preserve">======
ID#AAAB-rGqAIU
Unknown Author    (2026-06-29 09:46:14)
Contract: $3,000 one-time. Confirm whether waived (setup fee was waived, this was not listed).</t>
      </text>
    </comment>
    <comment authorId="0" ref="B20">
      <text>
        <t xml:space="preserve">======
ID#AAAB-rGqAJY
Unknown Author    (2026-06-29 09:46:15)
Negotiated from $3.5K.</t>
      </text>
    </comment>
    <comment authorId="0" ref="B19">
      <text>
        <t xml:space="preserve">======
ID#AAAB-rGqAH8
Unknown Author    (2026-06-29 09:46:14)
First 6 months waived.</t>
      </text>
    </comment>
    <comment authorId="0" ref="B18">
      <text>
        <t xml:space="preserve">======
ID#AAAB-rGqAIE
Unknown Author    (2026-06-29 09:46:14)
Contract: $5K mo 7-24, $10K mo 25+. Offset by variable fees (MMC).</t>
      </text>
    </comment>
    <comment authorId="0" ref="B17">
      <text>
        <t xml:space="preserve">======
ID#AAAB-rGqAIw
Unknown Author    (2026-06-29 09:46:14)
Kay committed $2.00; V5 shows $2.50 — pending revert.</t>
      </text>
    </comment>
    <comment authorId="0" ref="B16">
      <text>
        <t xml:space="preserve">======
ID#AAAB-rGqAJk
Unknown Author    (2026-06-29 09:46:15)
Partner-managed, Kay confirmed.</t>
      </text>
    </comment>
    <comment authorId="0" ref="B15">
      <text>
        <t xml:space="preserve">======
ID#AAAB-rGqAJQ
Unknown Author    (2026-06-29 09:46:15)
Contract: $0.0605/card provisioned (tokenization).</t>
      </text>
    </comment>
    <comment authorId="0" ref="B14">
      <text>
        <t xml:space="preserve">======
ID#AAAB-rGqAIM
Unknown Author    (2026-06-29 09:46:14)
Contract: $0.15/virtual card. Absorbed at launch (Loay).</t>
      </text>
    </comment>
    <comment authorId="0" ref="B13">
      <text>
        <t xml:space="preserve">======
ID#AAAB-rGqAI0
Unknown Author    (2026-06-29 09:46:14)
Per Akshay. Confirm.</t>
      </text>
    </comment>
    <comment authorId="0" ref="B12">
      <text>
        <t xml:space="preserve">======
ID#AAAB-rGqAI4
Unknown Author    (2026-06-29 09:46:14)
Per Akshay. Confirm vs Schedule 2 Accounts tiers.</t>
      </text>
    </comment>
    <comment authorId="0" ref="B11">
      <text>
        <t xml:space="preserve">======
ID#AAAB-rGqAJg
Unknown Author    (2026-06-29 09:46:15)
Contract: $650/wallet/month. Both wallets = $1,300/mo.</t>
      </text>
    </comment>
    <comment authorId="0" ref="B9">
      <text>
        <t xml:space="preserve">======
ID#AAAB-rGqAJ8
Unknown Author    (2026-06-29 09:46:15)
Retail = 0. Set for SME programme.</t>
      </text>
    </comment>
    <comment authorId="0" ref="B8">
      <text>
        <t xml:space="preserve">======
ID#AAAB-rGqAIQ
Unknown Author    (2026-06-29 09:46:14)
≈ new cards if 1 card per new customer.</t>
      </text>
    </comment>
    <comment authorId="0" ref="B7">
      <text>
        <t xml:space="preserve">======
ID#AAAB-rGqAJ4
Unknown Author    (2026-06-29 09:46:15)
Loay: the real breakeven driver is tx volume per card, not ticket size.</t>
      </text>
    </comment>
  </commentList>
  <extLst>
    <ext uri="GoogleSheetsCustomDataVersion2">
      <go:sheetsCustomData xmlns:go="http://customooxmlschemas.google.com/" r:id="rId1" roundtripDataSignature="AMtx7mjT5aY5H5fentLOUZ+0SulSCqBGJQ=="/>
    </ext>
  </extLst>
</comments>
</file>

<file path=xl/sharedStrings.xml><?xml version="1.0" encoding="utf-8"?>
<sst xmlns="http://schemas.openxmlformats.org/spreadsheetml/2006/main" count="114" uniqueCount="105">
  <si>
    <t>Mal × Rain | Transaction Unit Economics</t>
  </si>
  <si>
    <t>Per-transaction contribution. Day 1 = interchange-only on USD/US-merchant spend (no FX engine yet). Blue = input, yellow = confirm with Rain / unresolved in thread.</t>
  </si>
  <si>
    <t>ASSUMPTIONS</t>
  </si>
  <si>
    <t>Interchange gross % (Schedule 2 est.)</t>
  </si>
  <si>
    <t>Mal interchange share %</t>
  </si>
  <si>
    <t>Avg transaction value ($)</t>
  </si>
  <si>
    <t>% USD / US-merchant spend (no ISA)</t>
  </si>
  <si>
    <t>ISA % (international tx)</t>
  </si>
  <si>
    <t>Customer cross-border fee % — Free (Phase 2)</t>
  </si>
  <si>
    <t>Customer cross-border fee % — Pro (Phase 2)</t>
  </si>
  <si>
    <t>Rain service fee on customer-configured fees %</t>
  </si>
  <si>
    <t>Rain auth /tx ($) — all tx</t>
  </si>
  <si>
    <t>Rain tokenization /tx ($) — wallet tx only</t>
  </si>
  <si>
    <t>Rain 3DS /tx ($) — challenged e-comm only</t>
  </si>
  <si>
    <t>Wallet (tokenization) incidence %</t>
  </si>
  <si>
    <t>3DS incidence %</t>
  </si>
  <si>
    <t>Chargeback allocation /tx ($)</t>
  </si>
  <si>
    <t>Dispute rate (% of tx)</t>
  </si>
  <si>
    <t>Dispute cost /case ($)</t>
  </si>
  <si>
    <t>PER-TRANSACTION ECONOMICS</t>
  </si>
  <si>
    <t>Free</t>
  </si>
  <si>
    <t>Pro</t>
  </si>
  <si>
    <t>Transaction type</t>
  </si>
  <si>
    <t>USD (no ISA)</t>
  </si>
  <si>
    <t>Int'l (ISA)</t>
  </si>
  <si>
    <t>Spend ($)</t>
  </si>
  <si>
    <t>REVENUE</t>
  </si>
  <si>
    <t>Net interchange to Mal ($)</t>
  </si>
  <si>
    <t>Customer cross-border fee, gross ($)</t>
  </si>
  <si>
    <t>Less: Rain 20% service fee ($)</t>
  </si>
  <si>
    <t>Total net revenue ($)</t>
  </si>
  <si>
    <t>COST</t>
  </si>
  <si>
    <t>ISA cost to Mal ($, int'l only)</t>
  </si>
  <si>
    <t>Chargeback allocation ($)</t>
  </si>
  <si>
    <t>Dispute allocation ($)</t>
  </si>
  <si>
    <t>Common cost: ISA + chargeback + dispute ($)</t>
  </si>
  <si>
    <t>Total cost — Scenario A: auth + tokenization ($)</t>
  </si>
  <si>
    <t>Total cost — Scenario B: auth + 3DS ($)</t>
  </si>
  <si>
    <t>Total cost — Blended (auth + tok×inc + 3DS×inc) ($)</t>
  </si>
  <si>
    <t>CONTRIBUTION PER TRANSACTION</t>
  </si>
  <si>
    <t>Contribution /tx — Scenario A ($)</t>
  </si>
  <si>
    <t xml:space="preserve">   % of spend — A</t>
  </si>
  <si>
    <t>Contribution /tx — Scenario B ($)</t>
  </si>
  <si>
    <t xml:space="preserve">   % of spend — B</t>
  </si>
  <si>
    <t>Contribution /tx — Blended ($)</t>
  </si>
  <si>
    <t xml:space="preserve">   % of spend — Blended</t>
  </si>
  <si>
    <t>MIX-WEIGHTED &amp; BREAKEVEN</t>
  </si>
  <si>
    <t>Blended contribution /tx, weighted by USD/int'l mix ($)</t>
  </si>
  <si>
    <t>Min breakeven ticket — Scenario A ($)</t>
  </si>
  <si>
    <t>Min breakeven ticket — Scenario B ($)</t>
  </si>
  <si>
    <t>NOTES</t>
  </si>
  <si>
    <t>Rain 20% service fee applies to any customer fee Mal configures in the portal (contract). Consequence: a 1% intl-fee pass-through nets only 0.80% — it does NOT fully cover a 1% ISA. To be ISA-neutral the customer fee must be ~1.25%.</t>
  </si>
  <si>
    <t>Tokenization is wallet-tx only; 3DS is ~20% challenged e-comm only (Loay). Scenarios A/B are mutually exclusive per tx; Blended uses incidence weights.</t>
  </si>
  <si>
    <t>Chargebacks: Mal bears 100% (Program Losses clause). David Henry expects high chargeback rates on intl ad-driven spend — stress the chargeback input.</t>
  </si>
  <si>
    <t>USD vs international mix (row 8) is unresolved between Loay (mostly USD) and David Henry (mostly FX at POS). It is the single biggest swing factor — set it explicitly.</t>
  </si>
  <si>
    <t>Mal × Rain | Fixed Costs — 12-Month Amortisation</t>
  </si>
  <si>
    <t>Program/fixed costs the per-transaction contribution must cover. Handles 6-month minimum waiver + MMC offset (pay higher of variable Rain fees vs floor). Blue = input, yellow = confirm.</t>
  </si>
  <si>
    <t>Starting active cards</t>
  </si>
  <si>
    <t>Net new cards / month</t>
  </si>
  <si>
    <t>Transactions per active card / month</t>
  </si>
  <si>
    <t>New KYC applicants / month</t>
  </si>
  <si>
    <t>New KYB applicants / month (SME)</t>
  </si>
  <si>
    <t>Wallets enabled (Apple + Google)</t>
  </si>
  <si>
    <t>Wallet fee /wallet/month ($)</t>
  </si>
  <si>
    <t>Account fee — Visa Signature /card/mo ($)</t>
  </si>
  <si>
    <t>Account first-tier fee /card/mo ($)</t>
  </si>
  <si>
    <t>Issuance /card one-time ($)</t>
  </si>
  <si>
    <t>Card provisioning /card ($)</t>
  </si>
  <si>
    <t>KYC /applicant ($)</t>
  </si>
  <si>
    <t>KYB /applicant ($)</t>
  </si>
  <si>
    <t>Platform minimum /month, mo 7-24 ($)</t>
  </si>
  <si>
    <t>Minimum waived — first N months</t>
  </si>
  <si>
    <t>One-time: custom virtual card design ($)</t>
  </si>
  <si>
    <t>One-time: partner-managed program review ($)</t>
  </si>
  <si>
    <t>Per-tx processing (auth + tok×inc + 3DS×inc) ($)</t>
  </si>
  <si>
    <t>12-MONTH SCHEDULE</t>
  </si>
  <si>
    <t>Month</t>
  </si>
  <si>
    <t>Active cards</t>
  </si>
  <si>
    <t>New cards</t>
  </si>
  <si>
    <t>Transactions</t>
  </si>
  <si>
    <t>Processing $</t>
  </si>
  <si>
    <t>Accounts $</t>
  </si>
  <si>
    <t>Onboarding $</t>
  </si>
  <si>
    <t>Wallet $</t>
  </si>
  <si>
    <t>Offsettable $</t>
  </si>
  <si>
    <t>Platform min $</t>
  </si>
  <si>
    <t>Min shortfall $</t>
  </si>
  <si>
    <t>One-time amort $</t>
  </si>
  <si>
    <t>Total cost $</t>
  </si>
  <si>
    <t>Cumulative $</t>
  </si>
  <si>
    <t>Year 1 total</t>
  </si>
  <si>
    <t>BREAKEVEN</t>
  </si>
  <si>
    <t>Blended contribution /tx — Free, USD (from Sheet 1) ($)</t>
  </si>
  <si>
    <t>Mix-weighted contribution /tx — Free (from Sheet 1) ($)</t>
  </si>
  <si>
    <t>Gross monthly contribution / card ($)</t>
  </si>
  <si>
    <t>Less: per-card monthly fixed (accounts + onboarding amort) ($)</t>
  </si>
  <si>
    <t>Net monthly contribution / card ($)</t>
  </si>
  <si>
    <t>Program monthly fixed (wallet + one-time amort) ($)</t>
  </si>
  <si>
    <t>Breakeven active cards (cover program fixed)</t>
  </si>
  <si>
    <t>Min breakeven ticket — Scenario A (from Sheet 1) ($)</t>
  </si>
  <si>
    <t>MMC offset: platform minimum is offset by variable Rain fees (auth, 3DS, tokenization/wallet, accounts, KYC, issuance). You pay the HIGHER of the minimum or actual variable fees — captured as 'Min shortfall'. At projected ramp the minimum becomes immaterial by ~month 12 (Loay).</t>
  </si>
  <si>
    <t>$210K worst-case minimums over 3 yrs ($5K×18 + $10K×12) only applies at near-zero volume or on exit. The MMC offset is why it is not additive to variable fees.</t>
  </si>
  <si>
    <t>One-time program review ($3,000) is in the contract and was not in Loay's 'waived' list — confirm with Rain whether it stands.</t>
  </si>
  <si>
    <t>Chargebacks and disputes are per-transaction (Sheet 1), not here. David Henry expects high chargeback rates — that hits Sheet 1 contribution, which flows into breakeven here.</t>
  </si>
  <si>
    <t>First 6-9 months are tight (Loay): low card volume can't dilute the $1,300/mo wallet fee + minimum. Breakeven active-card count shows the scale needed.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</si>
</sst>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.00;&quot;($&quot;#,##0.00\);\-"/>
    <numFmt numFmtId="165" formatCode="0.0%"/>
    <numFmt numFmtId="166" formatCode="\$#,##0.000;&quot;($&quot;#,##0.000\);\-"/>
    <numFmt numFmtId="167" formatCode="\$#,##0;&quot;($&quot;#,##0\);\-"/>
  </numFmts>
  <fonts count="7">
    <font>
      <sz val="11.0"/>
      <color theme="1"/>
      <name val="Calibri"/>
      <scheme val="minor"/>
    </font>
    <font>
      <b/>
      <sz val="12.0"/>
      <color theme="1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4" numFmtId="0" xfId="0" applyBorder="1" applyFont="1"/>
    <xf borderId="1" fillId="0" fontId="4" numFmtId="0" xfId="0" applyBorder="1" applyFont="1"/>
    <xf borderId="1" fillId="3" fontId="5" numFmtId="10" xfId="0" applyAlignment="1" applyBorder="1" applyFill="1" applyFont="1" applyNumberFormat="1">
      <alignment horizontal="right" vertical="top"/>
    </xf>
    <xf borderId="1" fillId="0" fontId="5" numFmtId="10" xfId="0" applyAlignment="1" applyBorder="1" applyFont="1" applyNumberFormat="1">
      <alignment horizontal="right" vertical="top"/>
    </xf>
    <xf borderId="1" fillId="3" fontId="5" numFmtId="164" xfId="0" applyAlignment="1" applyBorder="1" applyFont="1" applyNumberFormat="1">
      <alignment horizontal="right" vertical="top"/>
    </xf>
    <xf borderId="1" fillId="3" fontId="5" numFmtId="165" xfId="0" applyAlignment="1" applyBorder="1" applyFont="1" applyNumberFormat="1">
      <alignment horizontal="right" vertical="top"/>
    </xf>
    <xf borderId="1" fillId="0" fontId="5" numFmtId="166" xfId="0" applyAlignment="1" applyBorder="1" applyFont="1" applyNumberFormat="1">
      <alignment horizontal="right" vertical="top"/>
    </xf>
    <xf borderId="1" fillId="3" fontId="5" numFmtId="166" xfId="0" applyAlignment="1" applyBorder="1" applyFont="1" applyNumberFormat="1">
      <alignment horizontal="right" vertical="top"/>
    </xf>
    <xf borderId="1" fillId="0" fontId="5" numFmtId="164" xfId="0" applyAlignment="1" applyBorder="1" applyFont="1" applyNumberFormat="1">
      <alignment horizontal="right" vertical="top"/>
    </xf>
    <xf borderId="1" fillId="2" fontId="3" numFmtId="0" xfId="0" applyAlignment="1" applyBorder="1" applyFont="1">
      <alignment horizontal="center" vertical="top"/>
    </xf>
    <xf borderId="1" fillId="4" fontId="6" numFmtId="0" xfId="0" applyBorder="1" applyFill="1" applyFont="1"/>
    <xf borderId="1" fillId="4" fontId="6" numFmtId="0" xfId="0" applyAlignment="1" applyBorder="1" applyFont="1">
      <alignment horizontal="center" vertical="top"/>
    </xf>
    <xf borderId="1" fillId="0" fontId="4" numFmtId="164" xfId="0" applyAlignment="1" applyBorder="1" applyFont="1" applyNumberFormat="1">
      <alignment horizontal="right" vertical="top"/>
    </xf>
    <xf borderId="1" fillId="5" fontId="6" numFmtId="0" xfId="0" applyBorder="1" applyFill="1" applyFont="1"/>
    <xf borderId="1" fillId="5" fontId="6" numFmtId="164" xfId="0" applyAlignment="1" applyBorder="1" applyFont="1" applyNumberFormat="1">
      <alignment horizontal="right" vertical="top"/>
    </xf>
    <xf borderId="1" fillId="0" fontId="4" numFmtId="166" xfId="0" applyAlignment="1" applyBorder="1" applyFont="1" applyNumberFormat="1">
      <alignment horizontal="right" vertical="top"/>
    </xf>
    <xf borderId="1" fillId="6" fontId="6" numFmtId="0" xfId="0" applyBorder="1" applyFill="1" applyFont="1"/>
    <xf borderId="1" fillId="6" fontId="6" numFmtId="164" xfId="0" applyAlignment="1" applyBorder="1" applyFont="1" applyNumberFormat="1">
      <alignment horizontal="right" vertical="top"/>
    </xf>
    <xf borderId="1" fillId="6" fontId="4" numFmtId="0" xfId="0" applyBorder="1" applyFont="1"/>
    <xf borderId="1" fillId="6" fontId="4" numFmtId="10" xfId="0" applyAlignment="1" applyBorder="1" applyFont="1" applyNumberFormat="1">
      <alignment horizontal="right" vertical="top"/>
    </xf>
    <xf borderId="1" fillId="0" fontId="6" numFmtId="0" xfId="0" applyBorder="1" applyFont="1"/>
    <xf borderId="1" fillId="6" fontId="6" numFmtId="166" xfId="0" applyAlignment="1" applyBorder="1" applyFont="1" applyNumberFormat="1">
      <alignment horizontal="right" vertical="top"/>
    </xf>
    <xf borderId="1" fillId="0" fontId="4" numFmtId="2" xfId="0" applyBorder="1" applyFont="1" applyNumberFormat="1"/>
    <xf borderId="0" fillId="0" fontId="6" numFmtId="0" xfId="0" applyFont="1"/>
    <xf borderId="1" fillId="3" fontId="5" numFmtId="3" xfId="0" applyAlignment="1" applyBorder="1" applyFont="1" applyNumberFormat="1">
      <alignment horizontal="right" vertical="top"/>
    </xf>
    <xf borderId="1" fillId="0" fontId="5" numFmtId="3" xfId="0" applyAlignment="1" applyBorder="1" applyFont="1" applyNumberFormat="1">
      <alignment horizontal="right" vertical="top"/>
    </xf>
    <xf borderId="1" fillId="0" fontId="5" numFmtId="167" xfId="0" applyAlignment="1" applyBorder="1" applyFont="1" applyNumberFormat="1">
      <alignment horizontal="right" vertical="top"/>
    </xf>
    <xf borderId="1" fillId="3" fontId="5" numFmtId="167" xfId="0" applyAlignment="1" applyBorder="1" applyFont="1" applyNumberFormat="1">
      <alignment horizontal="right" vertical="top"/>
    </xf>
    <xf borderId="1" fillId="5" fontId="4" numFmtId="166" xfId="0" applyAlignment="1" applyBorder="1" applyFont="1" applyNumberFormat="1">
      <alignment horizontal="right" vertical="top"/>
    </xf>
    <xf borderId="1" fillId="4" fontId="6" numFmtId="0" xfId="0" applyAlignment="1" applyBorder="1" applyFont="1">
      <alignment horizontal="right" shrinkToFit="0" vertical="top" wrapText="1"/>
    </xf>
    <xf borderId="1" fillId="0" fontId="4" numFmtId="3" xfId="0" applyAlignment="1" applyBorder="1" applyFont="1" applyNumberFormat="1">
      <alignment horizontal="right" vertical="top"/>
    </xf>
    <xf borderId="1" fillId="0" fontId="4" numFmtId="167" xfId="0" applyAlignment="1" applyBorder="1" applyFont="1" applyNumberFormat="1">
      <alignment horizontal="right" vertical="top"/>
    </xf>
    <xf borderId="1" fillId="0" fontId="6" numFmtId="167" xfId="0" applyAlignment="1" applyBorder="1" applyFont="1" applyNumberFormat="1">
      <alignment horizontal="right" vertical="top"/>
    </xf>
    <xf borderId="1" fillId="5" fontId="4" numFmtId="0" xfId="0" applyBorder="1" applyFont="1"/>
    <xf borderId="1" fillId="5" fontId="6" numFmtId="167" xfId="0" applyAlignment="1" applyBorder="1" applyFont="1" applyNumberFormat="1">
      <alignment horizontal="right" vertical="top"/>
    </xf>
    <xf borderId="1" fillId="6" fontId="6" numFmtId="3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2.0"/>
    <col customWidth="1" min="2" max="5" width="15.0"/>
    <col customWidth="1" min="6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/>
    <row r="4" ht="14.25" customHeight="1">
      <c r="A4" s="3" t="s">
        <v>2</v>
      </c>
      <c r="B4" s="4"/>
      <c r="C4" s="4"/>
      <c r="D4" s="4"/>
      <c r="E4" s="4"/>
    </row>
    <row r="5" ht="14.25" customHeight="1">
      <c r="A5" s="5" t="s">
        <v>3</v>
      </c>
      <c r="B5" s="6">
        <v>0.018</v>
      </c>
      <c r="C5" s="5"/>
      <c r="D5" s="5"/>
      <c r="E5" s="5"/>
    </row>
    <row r="6" ht="14.25" customHeight="1">
      <c r="A6" s="5" t="s">
        <v>4</v>
      </c>
      <c r="B6" s="7">
        <v>0.7</v>
      </c>
      <c r="C6" s="5"/>
      <c r="D6" s="5"/>
      <c r="E6" s="5"/>
    </row>
    <row r="7" ht="14.25" customHeight="1">
      <c r="A7" s="5" t="s">
        <v>5</v>
      </c>
      <c r="B7" s="8">
        <v>100.0</v>
      </c>
      <c r="C7" s="5"/>
      <c r="D7" s="5"/>
      <c r="E7" s="5"/>
    </row>
    <row r="8" ht="14.25" customHeight="1">
      <c r="A8" s="5" t="s">
        <v>6</v>
      </c>
      <c r="B8" s="9">
        <v>0.7</v>
      </c>
      <c r="C8" s="5"/>
      <c r="D8" s="5"/>
      <c r="E8" s="5"/>
    </row>
    <row r="9" ht="14.25" customHeight="1">
      <c r="A9" s="5" t="s">
        <v>7</v>
      </c>
      <c r="B9" s="7">
        <v>0.01</v>
      </c>
      <c r="C9" s="5"/>
      <c r="D9" s="5"/>
      <c r="E9" s="5"/>
    </row>
    <row r="10" ht="14.25" customHeight="1">
      <c r="A10" s="5" t="s">
        <v>8</v>
      </c>
      <c r="B10" s="6">
        <v>0.01</v>
      </c>
      <c r="C10" s="5"/>
      <c r="D10" s="5"/>
      <c r="E10" s="5"/>
    </row>
    <row r="11" ht="14.25" customHeight="1">
      <c r="A11" s="5" t="s">
        <v>9</v>
      </c>
      <c r="B11" s="6">
        <v>0.01</v>
      </c>
      <c r="C11" s="5"/>
      <c r="D11" s="5"/>
      <c r="E11" s="5"/>
    </row>
    <row r="12" ht="14.25" customHeight="1">
      <c r="A12" s="5" t="s">
        <v>10</v>
      </c>
      <c r="B12" s="6">
        <v>0.2</v>
      </c>
      <c r="C12" s="5"/>
      <c r="D12" s="5"/>
      <c r="E12" s="5"/>
    </row>
    <row r="13" ht="14.25" customHeight="1">
      <c r="A13" s="5" t="s">
        <v>11</v>
      </c>
      <c r="B13" s="10">
        <v>0.075</v>
      </c>
      <c r="C13" s="5"/>
      <c r="D13" s="5"/>
      <c r="E13" s="5"/>
    </row>
    <row r="14" ht="14.25" customHeight="1">
      <c r="A14" s="5" t="s">
        <v>12</v>
      </c>
      <c r="B14" s="10">
        <v>0.03</v>
      </c>
      <c r="C14" s="5"/>
      <c r="D14" s="5"/>
      <c r="E14" s="5"/>
    </row>
    <row r="15" ht="14.25" customHeight="1">
      <c r="A15" s="5" t="s">
        <v>13</v>
      </c>
      <c r="B15" s="10">
        <v>0.04</v>
      </c>
      <c r="C15" s="5"/>
      <c r="D15" s="5"/>
      <c r="E15" s="5"/>
    </row>
    <row r="16" ht="14.25" customHeight="1">
      <c r="A16" s="5" t="s">
        <v>14</v>
      </c>
      <c r="B16" s="9">
        <v>0.4</v>
      </c>
      <c r="C16" s="5"/>
      <c r="D16" s="5"/>
      <c r="E16" s="5"/>
    </row>
    <row r="17" ht="14.25" customHeight="1">
      <c r="A17" s="5" t="s">
        <v>15</v>
      </c>
      <c r="B17" s="9">
        <v>0.2</v>
      </c>
      <c r="C17" s="5"/>
      <c r="D17" s="5"/>
      <c r="E17" s="5"/>
    </row>
    <row r="18" ht="14.25" customHeight="1">
      <c r="A18" s="5" t="s">
        <v>16</v>
      </c>
      <c r="B18" s="11">
        <v>0.01</v>
      </c>
      <c r="C18" s="5"/>
      <c r="D18" s="5"/>
      <c r="E18" s="5"/>
    </row>
    <row r="19" ht="14.25" customHeight="1">
      <c r="A19" s="5" t="s">
        <v>17</v>
      </c>
      <c r="B19" s="6">
        <v>0.001</v>
      </c>
      <c r="C19" s="5"/>
      <c r="D19" s="5"/>
      <c r="E19" s="5"/>
    </row>
    <row r="20" ht="14.25" customHeight="1">
      <c r="A20" s="5" t="s">
        <v>18</v>
      </c>
      <c r="B20" s="12">
        <v>30.0</v>
      </c>
      <c r="C20" s="5"/>
      <c r="D20" s="5"/>
      <c r="E20" s="5"/>
    </row>
    <row r="21" ht="14.25" customHeight="1"/>
    <row r="22" ht="14.25" customHeight="1">
      <c r="A22" s="3" t="s">
        <v>19</v>
      </c>
      <c r="B22" s="13" t="s">
        <v>20</v>
      </c>
      <c r="C22" s="13" t="s">
        <v>20</v>
      </c>
      <c r="D22" s="13" t="s">
        <v>21</v>
      </c>
      <c r="E22" s="13" t="s">
        <v>21</v>
      </c>
    </row>
    <row r="23" ht="14.25" customHeight="1">
      <c r="A23" s="14" t="s">
        <v>22</v>
      </c>
      <c r="B23" s="15" t="s">
        <v>23</v>
      </c>
      <c r="C23" s="15" t="s">
        <v>24</v>
      </c>
      <c r="D23" s="15" t="s">
        <v>23</v>
      </c>
      <c r="E23" s="15" t="s">
        <v>24</v>
      </c>
    </row>
    <row r="24" ht="14.25" customHeight="1">
      <c r="A24" s="5" t="s">
        <v>25</v>
      </c>
      <c r="B24" s="16">
        <f t="shared" ref="B24:E24" si="1">$B$7</f>
        <v>100</v>
      </c>
      <c r="C24" s="16">
        <f t="shared" si="1"/>
        <v>100</v>
      </c>
      <c r="D24" s="16">
        <f t="shared" si="1"/>
        <v>100</v>
      </c>
      <c r="E24" s="16">
        <f t="shared" si="1"/>
        <v>100</v>
      </c>
    </row>
    <row r="25" ht="14.25" customHeight="1">
      <c r="A25" s="3" t="s">
        <v>26</v>
      </c>
      <c r="B25" s="4"/>
      <c r="C25" s="4"/>
      <c r="D25" s="4"/>
      <c r="E25" s="4"/>
    </row>
    <row r="26" ht="14.25" customHeight="1">
      <c r="A26" s="5" t="s">
        <v>27</v>
      </c>
      <c r="B26" s="16">
        <f t="shared" ref="B26:E26" si="2">B24*$B$5*$B$6</f>
        <v>1.26</v>
      </c>
      <c r="C26" s="16">
        <f t="shared" si="2"/>
        <v>1.26</v>
      </c>
      <c r="D26" s="16">
        <f t="shared" si="2"/>
        <v>1.26</v>
      </c>
      <c r="E26" s="16">
        <f t="shared" si="2"/>
        <v>1.26</v>
      </c>
    </row>
    <row r="27" ht="14.25" customHeight="1">
      <c r="A27" s="5" t="s">
        <v>28</v>
      </c>
      <c r="B27" s="16">
        <f>0</f>
        <v>0</v>
      </c>
      <c r="C27" s="16">
        <f>C24*$B$10</f>
        <v>1</v>
      </c>
      <c r="D27" s="16">
        <f>0</f>
        <v>0</v>
      </c>
      <c r="E27" s="16">
        <f>E24*$B$11</f>
        <v>1</v>
      </c>
    </row>
    <row r="28" ht="14.25" customHeight="1">
      <c r="A28" s="5" t="s">
        <v>29</v>
      </c>
      <c r="B28" s="16">
        <f t="shared" ref="B28:E28" si="3">-B27*$B$12</f>
        <v>0</v>
      </c>
      <c r="C28" s="16">
        <f t="shared" si="3"/>
        <v>-0.2</v>
      </c>
      <c r="D28" s="16">
        <f t="shared" si="3"/>
        <v>0</v>
      </c>
      <c r="E28" s="16">
        <f t="shared" si="3"/>
        <v>-0.2</v>
      </c>
    </row>
    <row r="29" ht="14.25" customHeight="1">
      <c r="A29" s="17" t="s">
        <v>30</v>
      </c>
      <c r="B29" s="18">
        <f t="shared" ref="B29:E29" si="4">B26+B27+B28</f>
        <v>1.26</v>
      </c>
      <c r="C29" s="18">
        <f t="shared" si="4"/>
        <v>2.06</v>
      </c>
      <c r="D29" s="18">
        <f t="shared" si="4"/>
        <v>1.26</v>
      </c>
      <c r="E29" s="18">
        <f t="shared" si="4"/>
        <v>2.06</v>
      </c>
    </row>
    <row r="30" ht="14.25" customHeight="1">
      <c r="A30" s="3" t="s">
        <v>31</v>
      </c>
      <c r="B30" s="4"/>
      <c r="C30" s="4"/>
      <c r="D30" s="4"/>
      <c r="E30" s="4"/>
    </row>
    <row r="31" ht="14.25" customHeight="1">
      <c r="A31" s="5" t="s">
        <v>32</v>
      </c>
      <c r="B31" s="16">
        <f>0</f>
        <v>0</v>
      </c>
      <c r="C31" s="16">
        <f>C24*$B$9</f>
        <v>1</v>
      </c>
      <c r="D31" s="16">
        <f>0</f>
        <v>0</v>
      </c>
      <c r="E31" s="16">
        <f>E24*$B$9</f>
        <v>1</v>
      </c>
    </row>
    <row r="32" ht="14.25" customHeight="1">
      <c r="A32" s="5" t="s">
        <v>33</v>
      </c>
      <c r="B32" s="19">
        <f t="shared" ref="B32:E32" si="5">$B$18</f>
        <v>0.01</v>
      </c>
      <c r="C32" s="19">
        <f t="shared" si="5"/>
        <v>0.01</v>
      </c>
      <c r="D32" s="19">
        <f t="shared" si="5"/>
        <v>0.01</v>
      </c>
      <c r="E32" s="19">
        <f t="shared" si="5"/>
        <v>0.01</v>
      </c>
    </row>
    <row r="33" ht="14.25" customHeight="1">
      <c r="A33" s="5" t="s">
        <v>34</v>
      </c>
      <c r="B33" s="19">
        <f t="shared" ref="B33:E33" si="6">$B$19*$B$20</f>
        <v>0.03</v>
      </c>
      <c r="C33" s="19">
        <f t="shared" si="6"/>
        <v>0.03</v>
      </c>
      <c r="D33" s="19">
        <f t="shared" si="6"/>
        <v>0.03</v>
      </c>
      <c r="E33" s="19">
        <f t="shared" si="6"/>
        <v>0.03</v>
      </c>
    </row>
    <row r="34" ht="14.25" customHeight="1">
      <c r="A34" s="5" t="s">
        <v>35</v>
      </c>
      <c r="B34" s="19">
        <f t="shared" ref="B34:E34" si="7">B31+B32+B33</f>
        <v>0.04</v>
      </c>
      <c r="C34" s="19">
        <f t="shared" si="7"/>
        <v>1.04</v>
      </c>
      <c r="D34" s="19">
        <f t="shared" si="7"/>
        <v>0.04</v>
      </c>
      <c r="E34" s="19">
        <f t="shared" si="7"/>
        <v>1.04</v>
      </c>
    </row>
    <row r="35" ht="14.25" customHeight="1">
      <c r="A35" s="5" t="s">
        <v>36</v>
      </c>
      <c r="B35" s="19">
        <f t="shared" ref="B35:E35" si="8">$B$13+$B$14+B34</f>
        <v>0.145</v>
      </c>
      <c r="C35" s="19">
        <f t="shared" si="8"/>
        <v>1.145</v>
      </c>
      <c r="D35" s="19">
        <f t="shared" si="8"/>
        <v>0.145</v>
      </c>
      <c r="E35" s="19">
        <f t="shared" si="8"/>
        <v>1.145</v>
      </c>
    </row>
    <row r="36" ht="14.25" customHeight="1">
      <c r="A36" s="5" t="s">
        <v>37</v>
      </c>
      <c r="B36" s="19">
        <f t="shared" ref="B36:E36" si="9">$B$13+$B$15+B34</f>
        <v>0.155</v>
      </c>
      <c r="C36" s="19">
        <f t="shared" si="9"/>
        <v>1.155</v>
      </c>
      <c r="D36" s="19">
        <f t="shared" si="9"/>
        <v>0.155</v>
      </c>
      <c r="E36" s="19">
        <f t="shared" si="9"/>
        <v>1.155</v>
      </c>
    </row>
    <row r="37" ht="14.25" customHeight="1">
      <c r="A37" s="5" t="s">
        <v>38</v>
      </c>
      <c r="B37" s="19">
        <f t="shared" ref="B37:E37" si="10">$B$13+$B$14*$B$16+$B$15*$B$17+B34</f>
        <v>0.135</v>
      </c>
      <c r="C37" s="19">
        <f t="shared" si="10"/>
        <v>1.135</v>
      </c>
      <c r="D37" s="19">
        <f t="shared" si="10"/>
        <v>0.135</v>
      </c>
      <c r="E37" s="19">
        <f t="shared" si="10"/>
        <v>1.135</v>
      </c>
    </row>
    <row r="38" ht="14.25" customHeight="1">
      <c r="A38" s="3" t="s">
        <v>39</v>
      </c>
      <c r="B38" s="4"/>
      <c r="C38" s="4"/>
      <c r="D38" s="4"/>
      <c r="E38" s="4"/>
    </row>
    <row r="39" ht="14.25" customHeight="1">
      <c r="A39" s="20" t="s">
        <v>40</v>
      </c>
      <c r="B39" s="21">
        <f t="shared" ref="B39:E39" si="11">B29-B35</f>
        <v>1.115</v>
      </c>
      <c r="C39" s="21">
        <f t="shared" si="11"/>
        <v>0.915</v>
      </c>
      <c r="D39" s="21">
        <f t="shared" si="11"/>
        <v>1.115</v>
      </c>
      <c r="E39" s="21">
        <f t="shared" si="11"/>
        <v>0.915</v>
      </c>
    </row>
    <row r="40" ht="14.25" customHeight="1">
      <c r="A40" s="22" t="s">
        <v>41</v>
      </c>
      <c r="B40" s="23">
        <f t="shared" ref="B40:E40" si="12">B39/B24</f>
        <v>0.01115</v>
      </c>
      <c r="C40" s="23">
        <f t="shared" si="12"/>
        <v>0.00915</v>
      </c>
      <c r="D40" s="23">
        <f t="shared" si="12"/>
        <v>0.01115</v>
      </c>
      <c r="E40" s="23">
        <f t="shared" si="12"/>
        <v>0.00915</v>
      </c>
    </row>
    <row r="41" ht="14.25" customHeight="1">
      <c r="A41" s="20" t="s">
        <v>42</v>
      </c>
      <c r="B41" s="21">
        <f t="shared" ref="B41:E41" si="13">B29-B36</f>
        <v>1.105</v>
      </c>
      <c r="C41" s="21">
        <f t="shared" si="13"/>
        <v>0.905</v>
      </c>
      <c r="D41" s="21">
        <f t="shared" si="13"/>
        <v>1.105</v>
      </c>
      <c r="E41" s="21">
        <f t="shared" si="13"/>
        <v>0.905</v>
      </c>
    </row>
    <row r="42" ht="14.25" customHeight="1">
      <c r="A42" s="22" t="s">
        <v>43</v>
      </c>
      <c r="B42" s="23">
        <f t="shared" ref="B42:E42" si="14">B41/B24</f>
        <v>0.01105</v>
      </c>
      <c r="C42" s="23">
        <f t="shared" si="14"/>
        <v>0.00905</v>
      </c>
      <c r="D42" s="23">
        <f t="shared" si="14"/>
        <v>0.01105</v>
      </c>
      <c r="E42" s="23">
        <f t="shared" si="14"/>
        <v>0.00905</v>
      </c>
    </row>
    <row r="43" ht="14.25" customHeight="1">
      <c r="A43" s="20" t="s">
        <v>44</v>
      </c>
      <c r="B43" s="21">
        <f t="shared" ref="B43:E43" si="15">B29-B37</f>
        <v>1.125</v>
      </c>
      <c r="C43" s="21">
        <f t="shared" si="15"/>
        <v>0.925</v>
      </c>
      <c r="D43" s="21">
        <f t="shared" si="15"/>
        <v>1.125</v>
      </c>
      <c r="E43" s="21">
        <f t="shared" si="15"/>
        <v>0.925</v>
      </c>
    </row>
    <row r="44" ht="14.25" customHeight="1">
      <c r="A44" s="22" t="s">
        <v>45</v>
      </c>
      <c r="B44" s="23">
        <f t="shared" ref="B44:E44" si="16">B43/B24</f>
        <v>0.01125</v>
      </c>
      <c r="C44" s="23">
        <f t="shared" si="16"/>
        <v>0.00925</v>
      </c>
      <c r="D44" s="23">
        <f t="shared" si="16"/>
        <v>0.01125</v>
      </c>
      <c r="E44" s="23">
        <f t="shared" si="16"/>
        <v>0.00925</v>
      </c>
    </row>
    <row r="45" ht="14.25" customHeight="1"/>
    <row r="46" ht="14.25" customHeight="1">
      <c r="A46" s="3" t="s">
        <v>46</v>
      </c>
      <c r="B46" s="13" t="s">
        <v>20</v>
      </c>
      <c r="C46" s="13"/>
      <c r="D46" s="13" t="s">
        <v>21</v>
      </c>
      <c r="E46" s="13"/>
    </row>
    <row r="47" ht="14.25" customHeight="1">
      <c r="A47" s="24" t="s">
        <v>47</v>
      </c>
      <c r="B47" s="25">
        <f>$B$8*B43+(1-$B$8)*C43</f>
        <v>1.065</v>
      </c>
      <c r="C47" s="22"/>
      <c r="D47" s="25">
        <f>$B$8*D43+(1-$B$8)*E43</f>
        <v>1.065</v>
      </c>
      <c r="E47" s="22"/>
    </row>
    <row r="48" ht="14.25" customHeight="1">
      <c r="A48" s="5" t="s">
        <v>48</v>
      </c>
      <c r="B48" s="16">
        <f>($B$13+$B$14+B32+B33)/($B$5*$B$6)</f>
        <v>11.50793651</v>
      </c>
      <c r="C48" s="26">
        <f>IF(($B$5*$B$6+$B$10*(1-$B$12)-$B$9)&gt;0,($B$13+$B$14+C32+C33)/($B$5*$B$6+$B$10*(1-$B$12)-$B$9),"n/a")</f>
        <v>13.67924528</v>
      </c>
      <c r="D48" s="5"/>
      <c r="E48" s="26">
        <f>IF(($B$5*$B$6+$B$11*(1-$B$12)-$B$9)&gt;0,($B$13+$B$14+E32+E33)/($B$5*$B$6+$B$11*(1-$B$12)-$B$9),"n/a")</f>
        <v>13.67924528</v>
      </c>
    </row>
    <row r="49" ht="14.25" customHeight="1">
      <c r="A49" s="5" t="s">
        <v>49</v>
      </c>
      <c r="B49" s="16">
        <f>($B$13+$B$15+B32+B33)/($B$5*$B$6)</f>
        <v>12.3015873</v>
      </c>
      <c r="C49" s="26">
        <f>IF(($B$5*$B$6+$B$10*(1-$B$12)-$B$9)&gt;0,($B$13+$B$15+C32+C33)/($B$5*$B$6+$B$10*(1-$B$12)-$B$9),"n/a")</f>
        <v>14.62264151</v>
      </c>
      <c r="D49" s="5"/>
      <c r="E49" s="26">
        <f>IF(($B$5*$B$6+$B$11*(1-$B$12)-$B$9)&gt;0,($B$13+$B$15+E32+E33)/($B$5*$B$6+$B$11*(1-$B$12)-$B$9),"n/a")</f>
        <v>14.62264151</v>
      </c>
    </row>
    <row r="50" ht="14.25" customHeight="1"/>
    <row r="51" ht="14.25" customHeight="1">
      <c r="A51" s="27" t="s">
        <v>50</v>
      </c>
    </row>
    <row r="52" ht="30.0" customHeight="1">
      <c r="A52" s="2"/>
    </row>
    <row r="53" ht="30.0" customHeight="1">
      <c r="A53" s="2" t="s">
        <v>51</v>
      </c>
    </row>
    <row r="54" ht="30.0" customHeight="1">
      <c r="A54" s="2" t="s">
        <v>52</v>
      </c>
    </row>
    <row r="55" ht="30.0" customHeight="1">
      <c r="A55" s="2" t="s">
        <v>53</v>
      </c>
    </row>
    <row r="56" ht="30.0" customHeight="1">
      <c r="A56" s="2" t="s">
        <v>54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1.71"/>
    <col customWidth="1" min="2" max="14" width="12.0"/>
    <col customWidth="1" min="15" max="26" width="8.71"/>
  </cols>
  <sheetData>
    <row r="1" ht="14.25" customHeight="1">
      <c r="A1" s="1" t="s">
        <v>55</v>
      </c>
    </row>
    <row r="2" ht="14.25" customHeight="1">
      <c r="A2" s="2" t="s">
        <v>56</v>
      </c>
    </row>
    <row r="3" ht="14.25" customHeight="1"/>
    <row r="4" ht="14.25" customHeight="1">
      <c r="A4" s="3" t="s">
        <v>2</v>
      </c>
      <c r="B4" s="4"/>
    </row>
    <row r="5" ht="14.25" customHeight="1">
      <c r="A5" s="5" t="s">
        <v>57</v>
      </c>
      <c r="B5" s="28">
        <v>1000.0</v>
      </c>
    </row>
    <row r="6" ht="14.25" customHeight="1">
      <c r="A6" s="5" t="s">
        <v>58</v>
      </c>
      <c r="B6" s="28">
        <v>500.0</v>
      </c>
    </row>
    <row r="7" ht="14.25" customHeight="1">
      <c r="A7" s="5" t="s">
        <v>59</v>
      </c>
      <c r="B7" s="28">
        <v>12.0</v>
      </c>
    </row>
    <row r="8" ht="14.25" customHeight="1">
      <c r="A8" s="5" t="s">
        <v>60</v>
      </c>
      <c r="B8" s="28">
        <v>500.0</v>
      </c>
    </row>
    <row r="9" ht="14.25" customHeight="1">
      <c r="A9" s="5" t="s">
        <v>61</v>
      </c>
      <c r="B9" s="28">
        <v>0.0</v>
      </c>
    </row>
    <row r="10" ht="14.25" customHeight="1">
      <c r="A10" s="5" t="s">
        <v>62</v>
      </c>
      <c r="B10" s="29">
        <v>2.0</v>
      </c>
    </row>
    <row r="11" ht="14.25" customHeight="1">
      <c r="A11" s="5" t="s">
        <v>63</v>
      </c>
      <c r="B11" s="30">
        <v>650.0</v>
      </c>
    </row>
    <row r="12" ht="14.25" customHeight="1">
      <c r="A12" s="5" t="s">
        <v>64</v>
      </c>
      <c r="B12" s="11">
        <v>0.65</v>
      </c>
    </row>
    <row r="13" ht="14.25" customHeight="1">
      <c r="A13" s="5" t="s">
        <v>65</v>
      </c>
      <c r="B13" s="11">
        <v>0.2</v>
      </c>
    </row>
    <row r="14" ht="14.25" customHeight="1">
      <c r="A14" s="5" t="s">
        <v>66</v>
      </c>
      <c r="B14" s="10">
        <v>0.15</v>
      </c>
    </row>
    <row r="15" ht="14.25" customHeight="1">
      <c r="A15" s="5" t="s">
        <v>67</v>
      </c>
      <c r="B15" s="10">
        <v>0.0605</v>
      </c>
    </row>
    <row r="16" ht="14.25" customHeight="1">
      <c r="A16" s="5" t="s">
        <v>68</v>
      </c>
      <c r="B16" s="10">
        <v>0.5</v>
      </c>
    </row>
    <row r="17" ht="14.25" customHeight="1">
      <c r="A17" s="5" t="s">
        <v>69</v>
      </c>
      <c r="B17" s="11">
        <v>2.0</v>
      </c>
    </row>
    <row r="18" ht="14.25" customHeight="1">
      <c r="A18" s="5" t="s">
        <v>70</v>
      </c>
      <c r="B18" s="30">
        <v>5000.0</v>
      </c>
    </row>
    <row r="19" ht="14.25" customHeight="1">
      <c r="A19" s="5" t="s">
        <v>71</v>
      </c>
      <c r="B19" s="29">
        <v>6.0</v>
      </c>
    </row>
    <row r="20" ht="14.25" customHeight="1">
      <c r="A20" s="5" t="s">
        <v>72</v>
      </c>
      <c r="B20" s="30">
        <v>1000.0</v>
      </c>
    </row>
    <row r="21" ht="14.25" customHeight="1">
      <c r="A21" s="5" t="s">
        <v>73</v>
      </c>
      <c r="B21" s="31">
        <v>3000.0</v>
      </c>
    </row>
    <row r="22" ht="14.25" customHeight="1">
      <c r="A22" s="5" t="s">
        <v>74</v>
      </c>
      <c r="B22" s="32">
        <f>('Transaction UE'!$B$13+'Transaction UE'!$B$14*'Transaction UE'!$B$16+'Transaction UE'!$B$15*'Transaction UE'!$B$17)</f>
        <v>0.095</v>
      </c>
    </row>
    <row r="23" ht="14.25" customHeight="1"/>
    <row r="24" ht="14.25" customHeight="1">
      <c r="A24" s="3" t="s">
        <v>75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42.0" customHeight="1">
      <c r="A25" s="14" t="s">
        <v>76</v>
      </c>
      <c r="B25" s="33" t="s">
        <v>77</v>
      </c>
      <c r="C25" s="33" t="s">
        <v>78</v>
      </c>
      <c r="D25" s="33" t="s">
        <v>79</v>
      </c>
      <c r="E25" s="33" t="s">
        <v>80</v>
      </c>
      <c r="F25" s="33" t="s">
        <v>81</v>
      </c>
      <c r="G25" s="33" t="s">
        <v>82</v>
      </c>
      <c r="H25" s="33" t="s">
        <v>83</v>
      </c>
      <c r="I25" s="33" t="s">
        <v>84</v>
      </c>
      <c r="J25" s="33" t="s">
        <v>85</v>
      </c>
      <c r="K25" s="33" t="s">
        <v>86</v>
      </c>
      <c r="L25" s="33" t="s">
        <v>87</v>
      </c>
      <c r="M25" s="33" t="s">
        <v>88</v>
      </c>
      <c r="N25" s="33" t="s">
        <v>89</v>
      </c>
    </row>
    <row r="26" ht="14.25" customHeight="1">
      <c r="A26" s="34">
        <v>1.0</v>
      </c>
      <c r="B26" s="34">
        <f>$B$5+$B$6*(1-1)</f>
        <v>1000</v>
      </c>
      <c r="C26" s="34">
        <f t="shared" ref="C26:C37" si="1">$B$6</f>
        <v>500</v>
      </c>
      <c r="D26" s="34">
        <f t="shared" ref="D26:D37" si="2">B26*$B$7</f>
        <v>12000</v>
      </c>
      <c r="E26" s="35">
        <f t="shared" ref="E26:E37" si="3">D26*$B$22</f>
        <v>1140</v>
      </c>
      <c r="F26" s="35">
        <f t="shared" ref="F26:F37" si="4">B26*($B$12+$B$13)</f>
        <v>850</v>
      </c>
      <c r="G26" s="35">
        <f t="shared" ref="G26:G37" si="5">C26*($B$14+$B$15)+$B$8*$B$16+$B$9*$B$17</f>
        <v>355.25</v>
      </c>
      <c r="H26" s="35">
        <f t="shared" ref="H26:H37" si="6">$B$10*$B$11</f>
        <v>1300</v>
      </c>
      <c r="I26" s="35">
        <f t="shared" ref="I26:I37" si="7">E26+F26+G26+H26</f>
        <v>3645.25</v>
      </c>
      <c r="J26" s="35">
        <f>IF(1&lt;=$B$19,0,$B$18)</f>
        <v>0</v>
      </c>
      <c r="K26" s="35">
        <f t="shared" ref="K26:K37" si="8">MAX(0,J26-I26)</f>
        <v>0</v>
      </c>
      <c r="L26" s="35">
        <f t="shared" ref="L26:L37" si="9">($B$20+$B$21)/12</f>
        <v>333.3333333</v>
      </c>
      <c r="M26" s="36">
        <f t="shared" ref="M26:M37" si="10">I26+K26+L26</f>
        <v>3978.583333</v>
      </c>
      <c r="N26" s="35">
        <f>M26</f>
        <v>3978.583333</v>
      </c>
    </row>
    <row r="27" ht="14.25" customHeight="1">
      <c r="A27" s="34">
        <v>2.0</v>
      </c>
      <c r="B27" s="34">
        <f>$B$5+$B$6*(2-1)</f>
        <v>1500</v>
      </c>
      <c r="C27" s="34">
        <f t="shared" si="1"/>
        <v>500</v>
      </c>
      <c r="D27" s="34">
        <f t="shared" si="2"/>
        <v>18000</v>
      </c>
      <c r="E27" s="35">
        <f t="shared" si="3"/>
        <v>1710</v>
      </c>
      <c r="F27" s="35">
        <f t="shared" si="4"/>
        <v>1275</v>
      </c>
      <c r="G27" s="35">
        <f t="shared" si="5"/>
        <v>355.25</v>
      </c>
      <c r="H27" s="35">
        <f t="shared" si="6"/>
        <v>1300</v>
      </c>
      <c r="I27" s="35">
        <f t="shared" si="7"/>
        <v>4640.25</v>
      </c>
      <c r="J27" s="35">
        <f>IF(2&lt;=$B$19,0,$B$18)</f>
        <v>0</v>
      </c>
      <c r="K27" s="35">
        <f t="shared" si="8"/>
        <v>0</v>
      </c>
      <c r="L27" s="35">
        <f t="shared" si="9"/>
        <v>333.3333333</v>
      </c>
      <c r="M27" s="36">
        <f t="shared" si="10"/>
        <v>4973.583333</v>
      </c>
      <c r="N27" s="35">
        <f t="shared" ref="N27:N37" si="11">N26+M27</f>
        <v>8952.166667</v>
      </c>
    </row>
    <row r="28" ht="14.25" customHeight="1">
      <c r="A28" s="34">
        <v>3.0</v>
      </c>
      <c r="B28" s="34">
        <f>$B$5+$B$6*(3-1)</f>
        <v>2000</v>
      </c>
      <c r="C28" s="34">
        <f t="shared" si="1"/>
        <v>500</v>
      </c>
      <c r="D28" s="34">
        <f t="shared" si="2"/>
        <v>24000</v>
      </c>
      <c r="E28" s="35">
        <f t="shared" si="3"/>
        <v>2280</v>
      </c>
      <c r="F28" s="35">
        <f t="shared" si="4"/>
        <v>1700</v>
      </c>
      <c r="G28" s="35">
        <f t="shared" si="5"/>
        <v>355.25</v>
      </c>
      <c r="H28" s="35">
        <f t="shared" si="6"/>
        <v>1300</v>
      </c>
      <c r="I28" s="35">
        <f t="shared" si="7"/>
        <v>5635.25</v>
      </c>
      <c r="J28" s="35">
        <f>IF(3&lt;=$B$19,0,$B$18)</f>
        <v>0</v>
      </c>
      <c r="K28" s="35">
        <f t="shared" si="8"/>
        <v>0</v>
      </c>
      <c r="L28" s="35">
        <f t="shared" si="9"/>
        <v>333.3333333</v>
      </c>
      <c r="M28" s="36">
        <f t="shared" si="10"/>
        <v>5968.583333</v>
      </c>
      <c r="N28" s="35">
        <f t="shared" si="11"/>
        <v>14920.75</v>
      </c>
    </row>
    <row r="29" ht="14.25" customHeight="1">
      <c r="A29" s="34">
        <v>4.0</v>
      </c>
      <c r="B29" s="34">
        <f>$B$5+$B$6*(4-1)</f>
        <v>2500</v>
      </c>
      <c r="C29" s="34">
        <f t="shared" si="1"/>
        <v>500</v>
      </c>
      <c r="D29" s="34">
        <f t="shared" si="2"/>
        <v>30000</v>
      </c>
      <c r="E29" s="35">
        <f t="shared" si="3"/>
        <v>2850</v>
      </c>
      <c r="F29" s="35">
        <f t="shared" si="4"/>
        <v>2125</v>
      </c>
      <c r="G29" s="35">
        <f t="shared" si="5"/>
        <v>355.25</v>
      </c>
      <c r="H29" s="35">
        <f t="shared" si="6"/>
        <v>1300</v>
      </c>
      <c r="I29" s="35">
        <f t="shared" si="7"/>
        <v>6630.25</v>
      </c>
      <c r="J29" s="35">
        <f>IF(4&lt;=$B$19,0,$B$18)</f>
        <v>0</v>
      </c>
      <c r="K29" s="35">
        <f t="shared" si="8"/>
        <v>0</v>
      </c>
      <c r="L29" s="35">
        <f t="shared" si="9"/>
        <v>333.3333333</v>
      </c>
      <c r="M29" s="36">
        <f t="shared" si="10"/>
        <v>6963.583333</v>
      </c>
      <c r="N29" s="35">
        <f t="shared" si="11"/>
        <v>21884.33333</v>
      </c>
    </row>
    <row r="30" ht="14.25" customHeight="1">
      <c r="A30" s="34">
        <v>5.0</v>
      </c>
      <c r="B30" s="34">
        <f>$B$5+$B$6*(5-1)</f>
        <v>3000</v>
      </c>
      <c r="C30" s="34">
        <f t="shared" si="1"/>
        <v>500</v>
      </c>
      <c r="D30" s="34">
        <f t="shared" si="2"/>
        <v>36000</v>
      </c>
      <c r="E30" s="35">
        <f t="shared" si="3"/>
        <v>3420</v>
      </c>
      <c r="F30" s="35">
        <f t="shared" si="4"/>
        <v>2550</v>
      </c>
      <c r="G30" s="35">
        <f t="shared" si="5"/>
        <v>355.25</v>
      </c>
      <c r="H30" s="35">
        <f t="shared" si="6"/>
        <v>1300</v>
      </c>
      <c r="I30" s="35">
        <f t="shared" si="7"/>
        <v>7625.25</v>
      </c>
      <c r="J30" s="35">
        <f>IF(5&lt;=$B$19,0,$B$18)</f>
        <v>0</v>
      </c>
      <c r="K30" s="35">
        <f t="shared" si="8"/>
        <v>0</v>
      </c>
      <c r="L30" s="35">
        <f t="shared" si="9"/>
        <v>333.3333333</v>
      </c>
      <c r="M30" s="36">
        <f t="shared" si="10"/>
        <v>7958.583333</v>
      </c>
      <c r="N30" s="35">
        <f t="shared" si="11"/>
        <v>29842.91667</v>
      </c>
    </row>
    <row r="31" ht="14.25" customHeight="1">
      <c r="A31" s="34">
        <v>6.0</v>
      </c>
      <c r="B31" s="34">
        <f>$B$5+$B$6*(6-1)</f>
        <v>3500</v>
      </c>
      <c r="C31" s="34">
        <f t="shared" si="1"/>
        <v>500</v>
      </c>
      <c r="D31" s="34">
        <f t="shared" si="2"/>
        <v>42000</v>
      </c>
      <c r="E31" s="35">
        <f t="shared" si="3"/>
        <v>3990</v>
      </c>
      <c r="F31" s="35">
        <f t="shared" si="4"/>
        <v>2975</v>
      </c>
      <c r="G31" s="35">
        <f t="shared" si="5"/>
        <v>355.25</v>
      </c>
      <c r="H31" s="35">
        <f t="shared" si="6"/>
        <v>1300</v>
      </c>
      <c r="I31" s="35">
        <f t="shared" si="7"/>
        <v>8620.25</v>
      </c>
      <c r="J31" s="35">
        <f>IF(6&lt;=$B$19,0,$B$18)</f>
        <v>0</v>
      </c>
      <c r="K31" s="35">
        <f t="shared" si="8"/>
        <v>0</v>
      </c>
      <c r="L31" s="35">
        <f t="shared" si="9"/>
        <v>333.3333333</v>
      </c>
      <c r="M31" s="36">
        <f t="shared" si="10"/>
        <v>8953.583333</v>
      </c>
      <c r="N31" s="35">
        <f t="shared" si="11"/>
        <v>38796.5</v>
      </c>
    </row>
    <row r="32" ht="14.25" customHeight="1">
      <c r="A32" s="34">
        <v>7.0</v>
      </c>
      <c r="B32" s="34">
        <f>$B$5+$B$6*(7-1)</f>
        <v>4000</v>
      </c>
      <c r="C32" s="34">
        <f t="shared" si="1"/>
        <v>500</v>
      </c>
      <c r="D32" s="34">
        <f t="shared" si="2"/>
        <v>48000</v>
      </c>
      <c r="E32" s="35">
        <f t="shared" si="3"/>
        <v>4560</v>
      </c>
      <c r="F32" s="35">
        <f t="shared" si="4"/>
        <v>3400</v>
      </c>
      <c r="G32" s="35">
        <f t="shared" si="5"/>
        <v>355.25</v>
      </c>
      <c r="H32" s="35">
        <f t="shared" si="6"/>
        <v>1300</v>
      </c>
      <c r="I32" s="35">
        <f t="shared" si="7"/>
        <v>9615.25</v>
      </c>
      <c r="J32" s="35">
        <f>IF(7&lt;=$B$19,0,$B$18)</f>
        <v>5000</v>
      </c>
      <c r="K32" s="35">
        <f t="shared" si="8"/>
        <v>0</v>
      </c>
      <c r="L32" s="35">
        <f t="shared" si="9"/>
        <v>333.3333333</v>
      </c>
      <c r="M32" s="36">
        <f t="shared" si="10"/>
        <v>9948.583333</v>
      </c>
      <c r="N32" s="35">
        <f t="shared" si="11"/>
        <v>48745.08333</v>
      </c>
    </row>
    <row r="33" ht="14.25" customHeight="1">
      <c r="A33" s="34">
        <v>8.0</v>
      </c>
      <c r="B33" s="34">
        <f>$B$5+$B$6*(8-1)</f>
        <v>4500</v>
      </c>
      <c r="C33" s="34">
        <f t="shared" si="1"/>
        <v>500</v>
      </c>
      <c r="D33" s="34">
        <f t="shared" si="2"/>
        <v>54000</v>
      </c>
      <c r="E33" s="35">
        <f t="shared" si="3"/>
        <v>5130</v>
      </c>
      <c r="F33" s="35">
        <f t="shared" si="4"/>
        <v>3825</v>
      </c>
      <c r="G33" s="35">
        <f t="shared" si="5"/>
        <v>355.25</v>
      </c>
      <c r="H33" s="35">
        <f t="shared" si="6"/>
        <v>1300</v>
      </c>
      <c r="I33" s="35">
        <f t="shared" si="7"/>
        <v>10610.25</v>
      </c>
      <c r="J33" s="35">
        <f>IF(8&lt;=$B$19,0,$B$18)</f>
        <v>5000</v>
      </c>
      <c r="K33" s="35">
        <f t="shared" si="8"/>
        <v>0</v>
      </c>
      <c r="L33" s="35">
        <f t="shared" si="9"/>
        <v>333.3333333</v>
      </c>
      <c r="M33" s="36">
        <f t="shared" si="10"/>
        <v>10943.58333</v>
      </c>
      <c r="N33" s="35">
        <f t="shared" si="11"/>
        <v>59688.66667</v>
      </c>
    </row>
    <row r="34" ht="14.25" customHeight="1">
      <c r="A34" s="34">
        <v>9.0</v>
      </c>
      <c r="B34" s="34">
        <f>$B$5+$B$6*(9-1)</f>
        <v>5000</v>
      </c>
      <c r="C34" s="34">
        <f t="shared" si="1"/>
        <v>500</v>
      </c>
      <c r="D34" s="34">
        <f t="shared" si="2"/>
        <v>60000</v>
      </c>
      <c r="E34" s="35">
        <f t="shared" si="3"/>
        <v>5700</v>
      </c>
      <c r="F34" s="35">
        <f t="shared" si="4"/>
        <v>4250</v>
      </c>
      <c r="G34" s="35">
        <f t="shared" si="5"/>
        <v>355.25</v>
      </c>
      <c r="H34" s="35">
        <f t="shared" si="6"/>
        <v>1300</v>
      </c>
      <c r="I34" s="35">
        <f t="shared" si="7"/>
        <v>11605.25</v>
      </c>
      <c r="J34" s="35">
        <f>IF(9&lt;=$B$19,0,$B$18)</f>
        <v>5000</v>
      </c>
      <c r="K34" s="35">
        <f t="shared" si="8"/>
        <v>0</v>
      </c>
      <c r="L34" s="35">
        <f t="shared" si="9"/>
        <v>333.3333333</v>
      </c>
      <c r="M34" s="36">
        <f t="shared" si="10"/>
        <v>11938.58333</v>
      </c>
      <c r="N34" s="35">
        <f t="shared" si="11"/>
        <v>71627.25</v>
      </c>
    </row>
    <row r="35" ht="14.25" customHeight="1">
      <c r="A35" s="34">
        <v>10.0</v>
      </c>
      <c r="B35" s="34">
        <f>$B$5+$B$6*(10-1)</f>
        <v>5500</v>
      </c>
      <c r="C35" s="34">
        <f t="shared" si="1"/>
        <v>500</v>
      </c>
      <c r="D35" s="34">
        <f t="shared" si="2"/>
        <v>66000</v>
      </c>
      <c r="E35" s="35">
        <f t="shared" si="3"/>
        <v>6270</v>
      </c>
      <c r="F35" s="35">
        <f t="shared" si="4"/>
        <v>4675</v>
      </c>
      <c r="G35" s="35">
        <f t="shared" si="5"/>
        <v>355.25</v>
      </c>
      <c r="H35" s="35">
        <f t="shared" si="6"/>
        <v>1300</v>
      </c>
      <c r="I35" s="35">
        <f t="shared" si="7"/>
        <v>12600.25</v>
      </c>
      <c r="J35" s="35">
        <f>IF(10&lt;=$B$19,0,$B$18)</f>
        <v>5000</v>
      </c>
      <c r="K35" s="35">
        <f t="shared" si="8"/>
        <v>0</v>
      </c>
      <c r="L35" s="35">
        <f t="shared" si="9"/>
        <v>333.3333333</v>
      </c>
      <c r="M35" s="36">
        <f t="shared" si="10"/>
        <v>12933.58333</v>
      </c>
      <c r="N35" s="35">
        <f t="shared" si="11"/>
        <v>84560.83333</v>
      </c>
    </row>
    <row r="36" ht="14.25" customHeight="1">
      <c r="A36" s="34">
        <v>11.0</v>
      </c>
      <c r="B36" s="34">
        <f>$B$5+$B$6*(11-1)</f>
        <v>6000</v>
      </c>
      <c r="C36" s="34">
        <f t="shared" si="1"/>
        <v>500</v>
      </c>
      <c r="D36" s="34">
        <f t="shared" si="2"/>
        <v>72000</v>
      </c>
      <c r="E36" s="35">
        <f t="shared" si="3"/>
        <v>6840</v>
      </c>
      <c r="F36" s="35">
        <f t="shared" si="4"/>
        <v>5100</v>
      </c>
      <c r="G36" s="35">
        <f t="shared" si="5"/>
        <v>355.25</v>
      </c>
      <c r="H36" s="35">
        <f t="shared" si="6"/>
        <v>1300</v>
      </c>
      <c r="I36" s="35">
        <f t="shared" si="7"/>
        <v>13595.25</v>
      </c>
      <c r="J36" s="35">
        <f>IF(11&lt;=$B$19,0,$B$18)</f>
        <v>5000</v>
      </c>
      <c r="K36" s="35">
        <f t="shared" si="8"/>
        <v>0</v>
      </c>
      <c r="L36" s="35">
        <f t="shared" si="9"/>
        <v>333.3333333</v>
      </c>
      <c r="M36" s="36">
        <f t="shared" si="10"/>
        <v>13928.58333</v>
      </c>
      <c r="N36" s="35">
        <f t="shared" si="11"/>
        <v>98489.41667</v>
      </c>
    </row>
    <row r="37" ht="14.25" customHeight="1">
      <c r="A37" s="34">
        <v>12.0</v>
      </c>
      <c r="B37" s="34">
        <f>$B$5+$B$6*(12-1)</f>
        <v>6500</v>
      </c>
      <c r="C37" s="34">
        <f t="shared" si="1"/>
        <v>500</v>
      </c>
      <c r="D37" s="34">
        <f t="shared" si="2"/>
        <v>78000</v>
      </c>
      <c r="E37" s="35">
        <f t="shared" si="3"/>
        <v>7410</v>
      </c>
      <c r="F37" s="35">
        <f t="shared" si="4"/>
        <v>5525</v>
      </c>
      <c r="G37" s="35">
        <f t="shared" si="5"/>
        <v>355.25</v>
      </c>
      <c r="H37" s="35">
        <f t="shared" si="6"/>
        <v>1300</v>
      </c>
      <c r="I37" s="35">
        <f t="shared" si="7"/>
        <v>14590.25</v>
      </c>
      <c r="J37" s="35">
        <f>IF(12&lt;=$B$19,0,$B$18)</f>
        <v>5000</v>
      </c>
      <c r="K37" s="35">
        <f t="shared" si="8"/>
        <v>0</v>
      </c>
      <c r="L37" s="35">
        <f t="shared" si="9"/>
        <v>333.3333333</v>
      </c>
      <c r="M37" s="36">
        <f t="shared" si="10"/>
        <v>14923.58333</v>
      </c>
      <c r="N37" s="35">
        <f t="shared" si="11"/>
        <v>113413</v>
      </c>
    </row>
    <row r="38" ht="14.25" customHeight="1">
      <c r="A38" s="17" t="s">
        <v>90</v>
      </c>
      <c r="B38" s="37"/>
      <c r="C38" s="37"/>
      <c r="D38" s="37"/>
      <c r="E38" s="38">
        <f t="shared" ref="E38:M38" si="12">SUM(E26:E37)</f>
        <v>51300</v>
      </c>
      <c r="F38" s="38">
        <f t="shared" si="12"/>
        <v>38250</v>
      </c>
      <c r="G38" s="38">
        <f t="shared" si="12"/>
        <v>4263</v>
      </c>
      <c r="H38" s="38">
        <f t="shared" si="12"/>
        <v>15600</v>
      </c>
      <c r="I38" s="38">
        <f t="shared" si="12"/>
        <v>109413</v>
      </c>
      <c r="J38" s="38">
        <f t="shared" si="12"/>
        <v>30000</v>
      </c>
      <c r="K38" s="38">
        <f t="shared" si="12"/>
        <v>0</v>
      </c>
      <c r="L38" s="38">
        <f t="shared" si="12"/>
        <v>4000</v>
      </c>
      <c r="M38" s="38">
        <f t="shared" si="12"/>
        <v>113413</v>
      </c>
      <c r="N38" s="38">
        <f>N37</f>
        <v>113413</v>
      </c>
    </row>
    <row r="39" ht="14.25" customHeight="1"/>
    <row r="40" ht="14.25" customHeight="1">
      <c r="A40" s="3" t="s">
        <v>91</v>
      </c>
      <c r="B40" s="4"/>
    </row>
    <row r="41" ht="14.25" customHeight="1">
      <c r="A41" s="20" t="s">
        <v>92</v>
      </c>
      <c r="B41" s="25">
        <f>'Transaction UE'!$B$43</f>
        <v>1.125</v>
      </c>
    </row>
    <row r="42" ht="14.25" customHeight="1">
      <c r="A42" s="20" t="s">
        <v>93</v>
      </c>
      <c r="B42" s="25">
        <f>'Transaction UE'!$B$47</f>
        <v>1.065</v>
      </c>
    </row>
    <row r="43" ht="14.25" customHeight="1">
      <c r="A43" s="5" t="s">
        <v>59</v>
      </c>
      <c r="B43" s="34">
        <f>$B$7</f>
        <v>12</v>
      </c>
    </row>
    <row r="44" ht="14.25" customHeight="1">
      <c r="A44" s="5" t="s">
        <v>94</v>
      </c>
      <c r="B44" s="16">
        <f>B43*B42</f>
        <v>12.78</v>
      </c>
    </row>
    <row r="45" ht="14.25" customHeight="1">
      <c r="A45" s="5" t="s">
        <v>95</v>
      </c>
      <c r="B45" s="19">
        <f>-(($B$12+$B$13)+($B$14+$B$15+$B$16)/12)</f>
        <v>-0.9092083333</v>
      </c>
    </row>
    <row r="46" ht="14.25" customHeight="1">
      <c r="A46" s="20" t="s">
        <v>96</v>
      </c>
      <c r="B46" s="21">
        <f>B44+B45</f>
        <v>11.87079167</v>
      </c>
    </row>
    <row r="47" ht="14.25" customHeight="1">
      <c r="A47" s="5" t="s">
        <v>97</v>
      </c>
      <c r="B47" s="35">
        <f>$B$10*$B$11+($B$20+$B$21)/12</f>
        <v>1633.333333</v>
      </c>
    </row>
    <row r="48" ht="14.25" customHeight="1">
      <c r="A48" s="20" t="s">
        <v>98</v>
      </c>
      <c r="B48" s="39">
        <f>IF(B46&gt;0,B47/B46,"n/a")</f>
        <v>137.5926205</v>
      </c>
    </row>
    <row r="49" ht="14.25" customHeight="1">
      <c r="A49" s="5" t="s">
        <v>99</v>
      </c>
      <c r="B49" s="16">
        <f>'Transaction UE'!$B$48</f>
        <v>11.50793651</v>
      </c>
    </row>
    <row r="50" ht="14.25" customHeight="1"/>
    <row r="51" ht="14.25" customHeight="1">
      <c r="A51" s="27" t="s">
        <v>50</v>
      </c>
    </row>
    <row r="52" ht="30.0" customHeight="1">
      <c r="A52" s="2" t="s">
        <v>100</v>
      </c>
    </row>
    <row r="53" ht="30.0" customHeight="1">
      <c r="A53" s="2" t="s">
        <v>101</v>
      </c>
    </row>
    <row r="54" ht="30.0" customHeight="1">
      <c r="A54" s="2" t="s">
        <v>102</v>
      </c>
    </row>
    <row r="55" ht="30.0" customHeight="1">
      <c r="A55" s="2" t="s">
        <v>103</v>
      </c>
    </row>
    <row r="56" ht="30.0" customHeight="1">
      <c r="A56" s="2" t="s">
        <v>104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2026-06-28T22:33:17Z</dcterms:created>
  <dc:creator>openpyxl</dc:creator>
</cp:coreProperties>
</file>