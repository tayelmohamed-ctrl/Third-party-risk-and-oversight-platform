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Retail Projections" sheetId="2" r:id="rId5"/>
    <sheet state="visible" name="SME Projections" sheetId="3" r:id="rId6"/>
  </sheets>
  <definedNames/>
  <calcPr/>
  <extLst>
    <ext uri="GoogleSheetsCustomDataVersion2">
      <go:sheetsCustomData xmlns:go="http://customooxmlschemas.google.com/" r:id="rId7" roundtripDataChecksum="GsNemxTJjA3Yuuvc6mMS9s5R+nenhfR4B+XvEWeKG7w="/>
    </ext>
  </extLst>
</workbook>
</file>

<file path=xl/sharedStrings.xml><?xml version="1.0" encoding="utf-8"?>
<sst xmlns="http://schemas.openxmlformats.org/spreadsheetml/2006/main" count="82" uniqueCount="46">
  <si>
    <t>Mal × i2c -  3-Year Card Projections | Assumptions</t>
  </si>
  <si>
    <t>Year 1</t>
  </si>
  <si>
    <t>Year 2</t>
  </si>
  <si>
    <t>Year 3</t>
  </si>
  <si>
    <t>RETAIL (CONSUMER)</t>
  </si>
  <si>
    <t>Cards issued cumulative</t>
  </si>
  <si>
    <t>Activation rate</t>
  </si>
  <si>
    <t>Active card retention (year-end)</t>
  </si>
  <si>
    <t>Transactions per active card / month</t>
  </si>
  <si>
    <t>Average ticket value (USD)</t>
  </si>
  <si>
    <t>Domestic spend % (US-merchant)</t>
  </si>
  <si>
    <t>Domestic Purchase % (vs ATM)</t>
  </si>
  <si>
    <t>International Purchase % (vs ATM)</t>
  </si>
  <si>
    <t>SME (BUSINESS CARD) — VK PLEASE VERIFY YELLOW CELLS</t>
  </si>
  <si>
    <t>SME cards issued cumulative</t>
  </si>
  <si>
    <t>SME activation rate</t>
  </si>
  <si>
    <t>SME retention (year-end)</t>
  </si>
  <si>
    <t>SME transactions per active card / month</t>
  </si>
  <si>
    <t>SME average ticket value (USD)</t>
  </si>
  <si>
    <t>SME Domestic spend % (US-merchant)</t>
  </si>
  <si>
    <t>SME Domestic Purchase % (vs ATM)</t>
  </si>
  <si>
    <t>SME International Purchase % (vs ATM)</t>
  </si>
  <si>
    <t>Mal × i2c — Retail (Consumer) Card Projections</t>
  </si>
  <si>
    <t>Country: GLOBAL</t>
  </si>
  <si>
    <t>Type of cards: Debit, Prepaid</t>
  </si>
  <si>
    <t>Cards [Consumer]</t>
  </si>
  <si>
    <t>Growth Cards %</t>
  </si>
  <si>
    <t>Active cards (year-end)</t>
  </si>
  <si>
    <t>Active cards (avg during year)</t>
  </si>
  <si>
    <t>Spend/Card/Year $ [Consumer]</t>
  </si>
  <si>
    <t>Growth Spend/Card %</t>
  </si>
  <si>
    <t>Transactions/Card/Year [Consumer]</t>
  </si>
  <si>
    <t>Growth Txns/Card %</t>
  </si>
  <si>
    <t>Spend</t>
  </si>
  <si>
    <t>Domestic</t>
  </si>
  <si>
    <t xml:space="preserve">  Purchase</t>
  </si>
  <si>
    <t xml:space="preserve">  Cash (ATM)</t>
  </si>
  <si>
    <t>International</t>
  </si>
  <si>
    <t>TOTAL SPEND</t>
  </si>
  <si>
    <t>Transactions</t>
  </si>
  <si>
    <t>TOTAL TRANSACTIONS</t>
  </si>
  <si>
    <t>Mal × i2c — SME (Business Card) Projections</t>
  </si>
  <si>
    <t>Type of cards: Commercial Debit</t>
  </si>
  <si>
    <t>Cards [SME]</t>
  </si>
  <si>
    <t>Spend/Card/Year $ [SME]</t>
  </si>
  <si>
    <t>Transactions/Card/Year [SME]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</si>
</sst>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0.0%;\(0.0%\);\-"/>
    <numFmt numFmtId="166" formatCode="\$#,##0;&quot;($&quot;#,##0\);\-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0.0"/>
      <color rgb="FF000000"/>
      <name val="Arial"/>
    </font>
    <font>
      <sz val="11.0"/>
      <color theme="1"/>
      <name val="Calibri"/>
    </font>
    <font>
      <sz val="10.0"/>
      <color rgb="FF0000FF"/>
      <name val="Arial"/>
    </font>
    <font>
      <b/>
      <sz val="10.0"/>
      <color rgb="FFC00000"/>
      <name val="Arial"/>
    </font>
    <font>
      <sz val="10.0"/>
      <color rgb="FF008000"/>
      <name val="Arial"/>
    </font>
    <font>
      <i/>
      <sz val="10.0"/>
      <color rgb="FF595959"/>
      <name val="Arial"/>
    </font>
    <font>
      <sz val="10.0"/>
      <color rgb="FF000000"/>
      <name val="Arial"/>
    </font>
    <font>
      <color theme="1"/>
      <name val="Calibri"/>
    </font>
    <font>
      <b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3" fillId="0" fontId="5" numFmtId="164" xfId="0" applyAlignment="1" applyBorder="1" applyFont="1" applyNumberFormat="1">
      <alignment horizontal="right" shrinkToFit="0" vertical="center" wrapText="0"/>
    </xf>
    <xf borderId="3" fillId="0" fontId="5" numFmtId="165" xfId="0" applyAlignment="1" applyBorder="1" applyFont="1" applyNumberFormat="1">
      <alignment horizontal="right" shrinkToFit="0" vertical="center" wrapText="0"/>
    </xf>
    <xf borderId="3" fillId="0" fontId="5" numFmtId="166" xfId="0" applyAlignment="1" applyBorder="1" applyFont="1" applyNumberFormat="1">
      <alignment horizontal="right" shrinkToFit="0" vertical="center" wrapText="0"/>
    </xf>
    <xf borderId="3" fillId="0" fontId="5" numFmtId="9" xfId="0" applyAlignment="1" applyBorder="1" applyFont="1" applyNumberFormat="1">
      <alignment horizontal="right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3" fillId="0" fontId="7" numFmtId="164" xfId="0" applyAlignment="1" applyBorder="1" applyFont="1" applyNumberFormat="1">
      <alignment horizontal="right" shrinkToFit="0" vertical="center" wrapText="0"/>
    </xf>
    <xf borderId="0" fillId="0" fontId="8" numFmtId="0" xfId="0" applyAlignment="1" applyFont="1">
      <alignment shrinkToFit="0" vertical="bottom" wrapText="0"/>
    </xf>
    <xf borderId="0" fillId="0" fontId="8" numFmtId="165" xfId="0" applyAlignment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3" fillId="0" fontId="9" numFmtId="164" xfId="0" applyAlignment="1" applyBorder="1" applyFont="1" applyNumberFormat="1">
      <alignment horizontal="righ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3" fillId="0" fontId="9" numFmtId="166" xfId="0" applyAlignment="1" applyBorder="1" applyFont="1" applyNumberFormat="1">
      <alignment horizontal="right" shrinkToFit="0" vertical="center" wrapText="0"/>
    </xf>
    <xf borderId="0" fillId="0" fontId="10" numFmtId="0" xfId="0" applyFont="1"/>
    <xf borderId="0" fillId="0" fontId="9" numFmtId="166" xfId="0" applyAlignment="1" applyFont="1" applyNumberFormat="1">
      <alignment horizontal="right" shrinkToFit="0" vertical="center" wrapText="0"/>
    </xf>
    <xf borderId="3" fillId="3" fontId="3" numFmtId="166" xfId="0" applyAlignment="1" applyBorder="1" applyFill="1" applyFont="1" applyNumberFormat="1">
      <alignment horizontal="right" shrinkToFit="0" vertical="center" wrapText="0"/>
    </xf>
    <xf borderId="0" fillId="0" fontId="9" numFmtId="164" xfId="0" applyAlignment="1" applyFont="1" applyNumberFormat="1">
      <alignment horizontal="right" shrinkToFit="0" vertical="center" wrapText="0"/>
    </xf>
    <xf borderId="3" fillId="3" fontId="3" numFmtId="164" xfId="0" applyAlignment="1" applyBorder="1" applyFont="1" applyNumberFormat="1">
      <alignment horizontal="right" shrinkToFit="0" vertical="center" wrapText="0"/>
    </xf>
    <xf borderId="1" fillId="2" fontId="1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4" width="16.0"/>
    <col customWidth="1" min="5" max="24" width="8.71"/>
  </cols>
  <sheetData>
    <row r="1" ht="27.75" customHeight="1">
      <c r="A1" s="1" t="s">
        <v>0</v>
      </c>
      <c r="B1" s="2"/>
      <c r="C1" s="2"/>
      <c r="D1" s="2"/>
    </row>
    <row r="3">
      <c r="B3" s="3" t="s">
        <v>1</v>
      </c>
      <c r="C3" s="3" t="s">
        <v>2</v>
      </c>
      <c r="D3" s="3" t="s">
        <v>3</v>
      </c>
    </row>
    <row r="5">
      <c r="A5" s="4" t="s">
        <v>4</v>
      </c>
      <c r="B5" s="2"/>
      <c r="C5" s="2"/>
      <c r="D5" s="2"/>
    </row>
    <row r="6">
      <c r="A6" s="5" t="s">
        <v>5</v>
      </c>
      <c r="B6" s="6">
        <v>100000.0</v>
      </c>
      <c r="C6" s="6">
        <v>400000.0</v>
      </c>
      <c r="D6" s="6">
        <v>900000.0</v>
      </c>
    </row>
    <row r="7">
      <c r="A7" s="5" t="s">
        <v>6</v>
      </c>
      <c r="B7" s="7">
        <v>0.65</v>
      </c>
      <c r="C7" s="7">
        <v>0.7</v>
      </c>
      <c r="D7" s="7">
        <v>0.72</v>
      </c>
    </row>
    <row r="8">
      <c r="A8" s="5" t="s">
        <v>7</v>
      </c>
      <c r="B8" s="7">
        <v>0.85</v>
      </c>
      <c r="C8" s="7">
        <v>0.82</v>
      </c>
      <c r="D8" s="7">
        <v>0.8</v>
      </c>
    </row>
    <row r="9">
      <c r="A9" s="5" t="s">
        <v>8</v>
      </c>
      <c r="B9" s="6">
        <v>8.0</v>
      </c>
      <c r="C9" s="6">
        <v>10.0</v>
      </c>
      <c r="D9" s="6">
        <v>12.0</v>
      </c>
    </row>
    <row r="10">
      <c r="A10" s="5" t="s">
        <v>9</v>
      </c>
      <c r="B10" s="8">
        <v>85.0</v>
      </c>
      <c r="C10" s="8">
        <v>95.0</v>
      </c>
      <c r="D10" s="8">
        <v>105.0</v>
      </c>
    </row>
    <row r="11">
      <c r="A11" s="5" t="s">
        <v>10</v>
      </c>
      <c r="B11" s="9">
        <v>0.0</v>
      </c>
      <c r="C11" s="9">
        <v>0.0</v>
      </c>
      <c r="D11" s="9">
        <v>0.0</v>
      </c>
    </row>
    <row r="12">
      <c r="A12" s="5" t="s">
        <v>11</v>
      </c>
      <c r="B12" s="9">
        <v>0.0</v>
      </c>
      <c r="C12" s="9">
        <v>0.0</v>
      </c>
      <c r="D12" s="9">
        <v>0.0</v>
      </c>
    </row>
    <row r="13">
      <c r="A13" s="5" t="s">
        <v>12</v>
      </c>
      <c r="B13" s="9">
        <v>1.0</v>
      </c>
      <c r="C13" s="9">
        <v>1.0</v>
      </c>
      <c r="D13" s="9">
        <v>1.0</v>
      </c>
    </row>
    <row r="15">
      <c r="A15" s="4" t="s">
        <v>13</v>
      </c>
      <c r="B15" s="2"/>
      <c r="C15" s="2"/>
      <c r="D15" s="2"/>
    </row>
    <row r="16">
      <c r="A16" s="5" t="s">
        <v>14</v>
      </c>
      <c r="B16" s="6">
        <v>3500.0</v>
      </c>
      <c r="C16" s="6">
        <v>12000.0</v>
      </c>
      <c r="D16" s="6">
        <v>35000.0</v>
      </c>
    </row>
    <row r="17">
      <c r="A17" s="5" t="s">
        <v>15</v>
      </c>
      <c r="B17" s="9">
        <v>0.76</v>
      </c>
      <c r="C17" s="9">
        <v>0.79</v>
      </c>
      <c r="D17" s="9">
        <v>0.82</v>
      </c>
    </row>
    <row r="18">
      <c r="A18" s="5" t="s">
        <v>16</v>
      </c>
      <c r="B18" s="7">
        <v>0.92</v>
      </c>
      <c r="C18" s="7">
        <v>0.9</v>
      </c>
      <c r="D18" s="7">
        <v>0.88</v>
      </c>
    </row>
    <row r="19">
      <c r="A19" s="5" t="s">
        <v>17</v>
      </c>
      <c r="B19" s="6">
        <v>6.0</v>
      </c>
      <c r="C19" s="6">
        <v>8.0</v>
      </c>
      <c r="D19" s="6">
        <v>10.0</v>
      </c>
    </row>
    <row r="20" ht="15.75" customHeight="1">
      <c r="A20" s="5" t="s">
        <v>18</v>
      </c>
      <c r="B20" s="8">
        <v>185.0</v>
      </c>
      <c r="C20" s="8">
        <v>225.0</v>
      </c>
      <c r="D20" s="8">
        <v>270.0</v>
      </c>
    </row>
    <row r="21" ht="15.75" customHeight="1">
      <c r="A21" s="5" t="s">
        <v>19</v>
      </c>
      <c r="B21" s="9">
        <v>0.13</v>
      </c>
      <c r="C21" s="9">
        <v>0.11</v>
      </c>
      <c r="D21" s="7">
        <v>0.15</v>
      </c>
    </row>
    <row r="22" ht="15.75" customHeight="1">
      <c r="A22" s="5" t="s">
        <v>20</v>
      </c>
      <c r="B22" s="9">
        <v>0.0</v>
      </c>
      <c r="C22" s="9">
        <v>0.0</v>
      </c>
      <c r="D22" s="9">
        <v>0.0</v>
      </c>
    </row>
    <row r="23" ht="15.75" customHeight="1">
      <c r="A23" s="5" t="s">
        <v>21</v>
      </c>
      <c r="B23" s="9">
        <v>0.0</v>
      </c>
      <c r="C23" s="9">
        <v>0.0</v>
      </c>
      <c r="D23" s="9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5:D5"/>
    <mergeCell ref="A1:D1"/>
    <mergeCell ref="A15:D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26" width="8.71"/>
  </cols>
  <sheetData>
    <row r="1" ht="27.75" customHeight="1">
      <c r="A1" s="1" t="s">
        <v>22</v>
      </c>
      <c r="B1" s="2"/>
      <c r="C1" s="2"/>
      <c r="D1" s="2"/>
      <c r="E1" s="2"/>
    </row>
    <row r="3">
      <c r="B3" s="10" t="s">
        <v>23</v>
      </c>
      <c r="C3" s="3" t="s">
        <v>1</v>
      </c>
      <c r="D3" s="3" t="s">
        <v>2</v>
      </c>
      <c r="E3" s="3" t="s">
        <v>3</v>
      </c>
    </row>
    <row r="4">
      <c r="B4" s="11" t="s">
        <v>24</v>
      </c>
    </row>
    <row r="6">
      <c r="B6" s="11" t="s">
        <v>25</v>
      </c>
      <c r="C6" s="12">
        <f>Assumptions!B6</f>
        <v>100000</v>
      </c>
      <c r="D6" s="12">
        <f>Assumptions!C6</f>
        <v>400000</v>
      </c>
      <c r="E6" s="12">
        <f>Assumptions!D6</f>
        <v>900000</v>
      </c>
    </row>
    <row r="7">
      <c r="B7" s="13" t="s">
        <v>26</v>
      </c>
      <c r="D7" s="14">
        <f t="shared" ref="D7:E7" si="1">IFERROR((D6/C6)-1,0)</f>
        <v>3</v>
      </c>
      <c r="E7" s="14">
        <f t="shared" si="1"/>
        <v>1.25</v>
      </c>
    </row>
    <row r="8">
      <c r="B8" s="15" t="s">
        <v>27</v>
      </c>
      <c r="C8" s="16">
        <f>Assumptions!B6*Assumptions!B7*Assumptions!B8</f>
        <v>55250</v>
      </c>
      <c r="D8" s="16">
        <f>Assumptions!C6*Assumptions!C7*Assumptions!C8</f>
        <v>229600</v>
      </c>
      <c r="E8" s="16">
        <f>Assumptions!D6*Assumptions!D7*Assumptions!D8</f>
        <v>518400</v>
      </c>
    </row>
    <row r="9">
      <c r="B9" s="13" t="s">
        <v>28</v>
      </c>
      <c r="C9" s="17">
        <f>C8/2</f>
        <v>27625</v>
      </c>
      <c r="D9" s="17">
        <f t="shared" ref="D9:E9" si="2">(C8+D8)/2</f>
        <v>142425</v>
      </c>
      <c r="E9" s="17">
        <f t="shared" si="2"/>
        <v>374000</v>
      </c>
    </row>
    <row r="10">
      <c r="B10" s="11" t="s">
        <v>29</v>
      </c>
      <c r="C10" s="18">
        <f>Assumptions!B9*12*Assumptions!B10</f>
        <v>8160</v>
      </c>
      <c r="D10" s="18">
        <f>Assumptions!C9*12*Assumptions!C10</f>
        <v>11400</v>
      </c>
      <c r="E10" s="18">
        <f>Assumptions!D9*12*Assumptions!D10</f>
        <v>15120</v>
      </c>
    </row>
    <row r="11">
      <c r="B11" s="13" t="s">
        <v>30</v>
      </c>
      <c r="D11" s="14">
        <f t="shared" ref="D11:E11" si="3">IFERROR((D10/C10)-1,0)</f>
        <v>0.3970588235</v>
      </c>
      <c r="E11" s="14">
        <f t="shared" si="3"/>
        <v>0.3263157895</v>
      </c>
    </row>
    <row r="12">
      <c r="B12" s="11" t="s">
        <v>31</v>
      </c>
      <c r="C12" s="16">
        <f>Assumptions!B9*12</f>
        <v>96</v>
      </c>
      <c r="D12" s="16">
        <f>Assumptions!C9*12</f>
        <v>120</v>
      </c>
      <c r="E12" s="16">
        <f>Assumptions!D9*12</f>
        <v>144</v>
      </c>
    </row>
    <row r="13">
      <c r="B13" s="13" t="s">
        <v>32</v>
      </c>
      <c r="D13" s="14">
        <f t="shared" ref="D13:E13" si="4">IFERROR((D12/C12)-1,0)</f>
        <v>0.25</v>
      </c>
      <c r="E13" s="14">
        <f t="shared" si="4"/>
        <v>0.2</v>
      </c>
    </row>
    <row r="15">
      <c r="A15" s="4" t="s">
        <v>33</v>
      </c>
      <c r="B15" s="2"/>
      <c r="C15" s="2"/>
      <c r="D15" s="2"/>
      <c r="E15" s="2"/>
    </row>
    <row r="16">
      <c r="B16" s="15" t="s">
        <v>34</v>
      </c>
      <c r="C16" s="18">
        <f>C9*C10*Assumptions!B11</f>
        <v>0</v>
      </c>
      <c r="D16" s="18">
        <f>D9*D10*Assumptions!C11</f>
        <v>0</v>
      </c>
      <c r="E16" s="18">
        <f>E9*E10*Assumptions!D11</f>
        <v>0</v>
      </c>
    </row>
    <row r="17">
      <c r="B17" s="19" t="s">
        <v>35</v>
      </c>
      <c r="C17" s="20">
        <f>C16*Assumptions!B12</f>
        <v>0</v>
      </c>
      <c r="D17" s="20">
        <f>D16*Assumptions!C12</f>
        <v>0</v>
      </c>
      <c r="E17" s="20">
        <f>E16*Assumptions!D12</f>
        <v>0</v>
      </c>
    </row>
    <row r="18">
      <c r="B18" s="19" t="s">
        <v>36</v>
      </c>
      <c r="C18" s="20">
        <f t="shared" ref="C18:E18" si="5">C16-C17</f>
        <v>0</v>
      </c>
      <c r="D18" s="20">
        <f t="shared" si="5"/>
        <v>0</v>
      </c>
      <c r="E18" s="20">
        <f t="shared" si="5"/>
        <v>0</v>
      </c>
    </row>
    <row r="19">
      <c r="B19" s="15" t="s">
        <v>37</v>
      </c>
      <c r="C19" s="18">
        <f>C9*C10*(1-Assumptions!B11)</f>
        <v>225420000</v>
      </c>
      <c r="D19" s="18">
        <f>D9*D10*(1-Assumptions!C11)</f>
        <v>1623645000</v>
      </c>
      <c r="E19" s="18">
        <f>E9*E10*(1-Assumptions!D11)</f>
        <v>5654880000</v>
      </c>
    </row>
    <row r="20">
      <c r="B20" s="19" t="s">
        <v>35</v>
      </c>
      <c r="C20" s="20">
        <f>C19*Assumptions!B13</f>
        <v>225420000</v>
      </c>
      <c r="D20" s="20">
        <f>D19*Assumptions!C13</f>
        <v>1623645000</v>
      </c>
      <c r="E20" s="20">
        <f>E19*Assumptions!D13</f>
        <v>5654880000</v>
      </c>
    </row>
    <row r="21" ht="15.75" customHeight="1">
      <c r="B21" s="19" t="s">
        <v>36</v>
      </c>
      <c r="C21" s="20">
        <f t="shared" ref="C21:E21" si="6">C19-C20</f>
        <v>0</v>
      </c>
      <c r="D21" s="20">
        <f t="shared" si="6"/>
        <v>0</v>
      </c>
      <c r="E21" s="20">
        <f t="shared" si="6"/>
        <v>0</v>
      </c>
    </row>
    <row r="22" ht="15.75" customHeight="1">
      <c r="B22" s="15" t="s">
        <v>38</v>
      </c>
      <c r="C22" s="21">
        <f t="shared" ref="C22:E22" si="7">C16+C19</f>
        <v>225420000</v>
      </c>
      <c r="D22" s="21">
        <f t="shared" si="7"/>
        <v>1623645000</v>
      </c>
      <c r="E22" s="21">
        <f t="shared" si="7"/>
        <v>5654880000</v>
      </c>
    </row>
    <row r="23" ht="15.75" customHeight="1"/>
    <row r="24" ht="15.75" customHeight="1">
      <c r="A24" s="4" t="s">
        <v>39</v>
      </c>
      <c r="B24" s="2"/>
      <c r="C24" s="2"/>
      <c r="D24" s="2"/>
      <c r="E24" s="2"/>
    </row>
    <row r="25" ht="15.75" customHeight="1">
      <c r="B25" s="15" t="s">
        <v>34</v>
      </c>
      <c r="C25" s="16">
        <f>C9*C12*Assumptions!B11</f>
        <v>0</v>
      </c>
      <c r="D25" s="16">
        <f>D9*D12*Assumptions!C11</f>
        <v>0</v>
      </c>
      <c r="E25" s="16">
        <f>E9*E12*Assumptions!D11</f>
        <v>0</v>
      </c>
    </row>
    <row r="26" ht="15.75" customHeight="1">
      <c r="B26" s="19" t="s">
        <v>35</v>
      </c>
      <c r="C26" s="22">
        <f>C25*Assumptions!B12</f>
        <v>0</v>
      </c>
      <c r="D26" s="22">
        <f>D25*Assumptions!C12</f>
        <v>0</v>
      </c>
      <c r="E26" s="22">
        <f>E25*Assumptions!D12</f>
        <v>0</v>
      </c>
    </row>
    <row r="27" ht="15.75" customHeight="1">
      <c r="B27" s="19" t="s">
        <v>36</v>
      </c>
      <c r="C27" s="22">
        <f t="shared" ref="C27:E27" si="8">C25-C26</f>
        <v>0</v>
      </c>
      <c r="D27" s="22">
        <f t="shared" si="8"/>
        <v>0</v>
      </c>
      <c r="E27" s="22">
        <f t="shared" si="8"/>
        <v>0</v>
      </c>
    </row>
    <row r="28" ht="15.75" customHeight="1">
      <c r="B28" s="15" t="s">
        <v>37</v>
      </c>
      <c r="C28" s="16">
        <f>C9*C12*(1-Assumptions!B11)</f>
        <v>2652000</v>
      </c>
      <c r="D28" s="16">
        <f>D9*D12*(1-Assumptions!C11)</f>
        <v>17091000</v>
      </c>
      <c r="E28" s="16">
        <f>E9*E12*(1-Assumptions!D11)</f>
        <v>53856000</v>
      </c>
    </row>
    <row r="29" ht="15.75" customHeight="1">
      <c r="B29" s="19" t="s">
        <v>35</v>
      </c>
      <c r="C29" s="22">
        <f>C28*Assumptions!B13</f>
        <v>2652000</v>
      </c>
      <c r="D29" s="22">
        <f>D28*Assumptions!C13</f>
        <v>17091000</v>
      </c>
      <c r="E29" s="22">
        <f>E28*Assumptions!D13</f>
        <v>53856000</v>
      </c>
    </row>
    <row r="30" ht="15.75" customHeight="1">
      <c r="B30" s="19" t="s">
        <v>36</v>
      </c>
      <c r="C30" s="22">
        <f t="shared" ref="C30:E30" si="9">C28-C29</f>
        <v>0</v>
      </c>
      <c r="D30" s="22">
        <f t="shared" si="9"/>
        <v>0</v>
      </c>
      <c r="E30" s="22">
        <f t="shared" si="9"/>
        <v>0</v>
      </c>
    </row>
    <row r="31" ht="15.75" customHeight="1">
      <c r="B31" s="15" t="s">
        <v>40</v>
      </c>
      <c r="C31" s="23">
        <f t="shared" ref="C31:E31" si="10">C25+C28</f>
        <v>2652000</v>
      </c>
      <c r="D31" s="23">
        <f t="shared" si="10"/>
        <v>17091000</v>
      </c>
      <c r="E31" s="23">
        <f t="shared" si="10"/>
        <v>53856000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5:E15"/>
    <mergeCell ref="A24:E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26" width="8.71"/>
  </cols>
  <sheetData>
    <row r="1" ht="27.75" customHeight="1">
      <c r="A1" s="24" t="s">
        <v>41</v>
      </c>
      <c r="B1" s="2"/>
      <c r="C1" s="2"/>
      <c r="D1" s="2"/>
      <c r="E1" s="2"/>
    </row>
    <row r="3">
      <c r="B3" s="10" t="s">
        <v>23</v>
      </c>
      <c r="C3" s="3" t="s">
        <v>1</v>
      </c>
      <c r="D3" s="3" t="s">
        <v>2</v>
      </c>
      <c r="E3" s="3" t="s">
        <v>3</v>
      </c>
    </row>
    <row r="4">
      <c r="B4" s="11" t="s">
        <v>42</v>
      </c>
    </row>
    <row r="6">
      <c r="B6" s="11" t="s">
        <v>43</v>
      </c>
      <c r="C6" s="12">
        <f>Assumptions!B16</f>
        <v>3500</v>
      </c>
      <c r="D6" s="12">
        <f>Assumptions!C16</f>
        <v>12000</v>
      </c>
      <c r="E6" s="12">
        <f>Assumptions!D16</f>
        <v>35000</v>
      </c>
    </row>
    <row r="7">
      <c r="B7" s="13" t="s">
        <v>26</v>
      </c>
      <c r="D7" s="14">
        <f t="shared" ref="D7:E7" si="1">IFERROR((D6/C6)-1,0)</f>
        <v>2.428571429</v>
      </c>
      <c r="E7" s="14">
        <f t="shared" si="1"/>
        <v>1.916666667</v>
      </c>
    </row>
    <row r="8">
      <c r="B8" s="15" t="s">
        <v>27</v>
      </c>
      <c r="C8" s="16">
        <f>Assumptions!B16*Assumptions!B17*Assumptions!B18</f>
        <v>2447.2</v>
      </c>
      <c r="D8" s="16">
        <f>Assumptions!C16*Assumptions!C17*Assumptions!C18</f>
        <v>8532</v>
      </c>
      <c r="E8" s="16">
        <f>Assumptions!D16*Assumptions!D17*Assumptions!D18</f>
        <v>25256</v>
      </c>
    </row>
    <row r="9">
      <c r="B9" s="13" t="s">
        <v>28</v>
      </c>
      <c r="C9" s="17">
        <f>C8/2</f>
        <v>1223.6</v>
      </c>
      <c r="D9" s="17">
        <f t="shared" ref="D9:E9" si="2">(C8+D8)/2</f>
        <v>5489.6</v>
      </c>
      <c r="E9" s="17">
        <f t="shared" si="2"/>
        <v>16894</v>
      </c>
    </row>
    <row r="10">
      <c r="B10" s="11" t="s">
        <v>44</v>
      </c>
      <c r="C10" s="18">
        <f>Assumptions!B19*12*Assumptions!B20</f>
        <v>13320</v>
      </c>
      <c r="D10" s="18">
        <f>Assumptions!C19*12*Assumptions!C20</f>
        <v>21600</v>
      </c>
      <c r="E10" s="18">
        <f>Assumptions!D19*12*Assumptions!D20</f>
        <v>32400</v>
      </c>
    </row>
    <row r="11">
      <c r="B11" s="13" t="s">
        <v>30</v>
      </c>
      <c r="D11" s="14">
        <f t="shared" ref="D11:E11" si="3">IFERROR((D10/C10)-1,0)</f>
        <v>0.6216216216</v>
      </c>
      <c r="E11" s="14">
        <f t="shared" si="3"/>
        <v>0.5</v>
      </c>
    </row>
    <row r="12">
      <c r="B12" s="11" t="s">
        <v>45</v>
      </c>
      <c r="C12" s="16">
        <f>Assumptions!B19*12</f>
        <v>72</v>
      </c>
      <c r="D12" s="16">
        <f>Assumptions!C19*12</f>
        <v>96</v>
      </c>
      <c r="E12" s="16">
        <f>Assumptions!D19*12</f>
        <v>120</v>
      </c>
    </row>
    <row r="13">
      <c r="B13" s="13" t="s">
        <v>32</v>
      </c>
      <c r="D13" s="14">
        <f t="shared" ref="D13:E13" si="4">IFERROR((D12/C12)-1,0)</f>
        <v>0.3333333333</v>
      </c>
      <c r="E13" s="14">
        <f t="shared" si="4"/>
        <v>0.25</v>
      </c>
    </row>
    <row r="15">
      <c r="A15" s="4" t="s">
        <v>33</v>
      </c>
      <c r="B15" s="2"/>
      <c r="C15" s="2"/>
      <c r="D15" s="2"/>
      <c r="E15" s="2"/>
    </row>
    <row r="16">
      <c r="B16" s="15" t="s">
        <v>34</v>
      </c>
      <c r="C16" s="18">
        <f>C9*C10*Assumptions!B21</f>
        <v>2118785.76</v>
      </c>
      <c r="D16" s="18">
        <f>D9*D10*Assumptions!C21</f>
        <v>13043289.6</v>
      </c>
      <c r="E16" s="18">
        <f>E9*E10*Assumptions!D21</f>
        <v>82104840</v>
      </c>
    </row>
    <row r="17">
      <c r="B17" s="19" t="s">
        <v>36</v>
      </c>
      <c r="C17" s="20">
        <f>C16*Assumptions!B22</f>
        <v>0</v>
      </c>
      <c r="D17" s="20">
        <f>D16*Assumptions!C22</f>
        <v>0</v>
      </c>
      <c r="E17" s="20">
        <f>E16*Assumptions!D22</f>
        <v>0</v>
      </c>
    </row>
    <row r="18">
      <c r="B18" s="19" t="s">
        <v>35</v>
      </c>
      <c r="C18" s="20">
        <f t="shared" ref="C18:E18" si="5">C16-C17</f>
        <v>2118785.76</v>
      </c>
      <c r="D18" s="20">
        <f t="shared" si="5"/>
        <v>13043289.6</v>
      </c>
      <c r="E18" s="20">
        <f t="shared" si="5"/>
        <v>82104840</v>
      </c>
    </row>
    <row r="19">
      <c r="B19" s="15" t="s">
        <v>37</v>
      </c>
      <c r="C19" s="18">
        <f>C9*C10*(1-Assumptions!B21)</f>
        <v>14179566.24</v>
      </c>
      <c r="D19" s="18">
        <f>D9*D10*(1-Assumptions!C21)</f>
        <v>105532070.4</v>
      </c>
      <c r="E19" s="18">
        <f>E9*E10*(1-Assumptions!D21)</f>
        <v>465260760</v>
      </c>
    </row>
    <row r="20">
      <c r="B20" s="19" t="s">
        <v>36</v>
      </c>
      <c r="C20" s="20">
        <f>C19*Assumptions!B23</f>
        <v>0</v>
      </c>
      <c r="D20" s="20">
        <f>D19*Assumptions!C23</f>
        <v>0</v>
      </c>
      <c r="E20" s="20">
        <f>E19*Assumptions!D23</f>
        <v>0</v>
      </c>
    </row>
    <row r="21" ht="15.75" customHeight="1">
      <c r="B21" s="19" t="s">
        <v>35</v>
      </c>
      <c r="C21" s="20">
        <f t="shared" ref="C21:E21" si="6">C19-C20</f>
        <v>14179566.24</v>
      </c>
      <c r="D21" s="20">
        <f t="shared" si="6"/>
        <v>105532070.4</v>
      </c>
      <c r="E21" s="20">
        <f t="shared" si="6"/>
        <v>465260760</v>
      </c>
    </row>
    <row r="22" ht="15.75" customHeight="1">
      <c r="B22" s="15" t="s">
        <v>38</v>
      </c>
      <c r="C22" s="21">
        <f t="shared" ref="C22:E22" si="7">C16+C19</f>
        <v>16298352</v>
      </c>
      <c r="D22" s="21">
        <f t="shared" si="7"/>
        <v>118575360</v>
      </c>
      <c r="E22" s="21">
        <f t="shared" si="7"/>
        <v>547365600</v>
      </c>
    </row>
    <row r="23" ht="15.75" customHeight="1"/>
    <row r="24" ht="15.75" customHeight="1">
      <c r="A24" s="4" t="s">
        <v>39</v>
      </c>
      <c r="B24" s="2"/>
      <c r="C24" s="2"/>
      <c r="D24" s="2"/>
      <c r="E24" s="2"/>
    </row>
    <row r="25" ht="15.75" customHeight="1">
      <c r="B25" s="15" t="s">
        <v>34</v>
      </c>
      <c r="C25" s="16">
        <f>C9*C12*Assumptions!B21</f>
        <v>11452.896</v>
      </c>
      <c r="D25" s="16">
        <f>D9*D12*Assumptions!C21</f>
        <v>57970.176</v>
      </c>
      <c r="E25" s="16">
        <f>E9*E12*Assumptions!D21</f>
        <v>304092</v>
      </c>
    </row>
    <row r="26" ht="15.75" customHeight="1">
      <c r="B26" s="19" t="s">
        <v>36</v>
      </c>
      <c r="C26" s="22">
        <f>C25*Assumptions!B22</f>
        <v>0</v>
      </c>
      <c r="D26" s="22">
        <f>D25*Assumptions!C22</f>
        <v>0</v>
      </c>
      <c r="E26" s="22">
        <f>E25*Assumptions!D22</f>
        <v>0</v>
      </c>
    </row>
    <row r="27" ht="15.75" customHeight="1">
      <c r="B27" s="19" t="s">
        <v>35</v>
      </c>
      <c r="C27" s="22">
        <f t="shared" ref="C27:E27" si="8">C25-C26</f>
        <v>11452.896</v>
      </c>
      <c r="D27" s="22">
        <f t="shared" si="8"/>
        <v>57970.176</v>
      </c>
      <c r="E27" s="22">
        <f t="shared" si="8"/>
        <v>304092</v>
      </c>
    </row>
    <row r="28" ht="15.75" customHeight="1">
      <c r="B28" s="15" t="s">
        <v>37</v>
      </c>
      <c r="C28" s="16">
        <f>C9*C12*(1-Assumptions!B21)</f>
        <v>76646.304</v>
      </c>
      <c r="D28" s="16">
        <f>D9*D12*(1-Assumptions!C21)</f>
        <v>469031.424</v>
      </c>
      <c r="E28" s="16">
        <f>E9*E12*(1-Assumptions!D21)</f>
        <v>1723188</v>
      </c>
    </row>
    <row r="29" ht="15.75" customHeight="1">
      <c r="B29" s="19" t="s">
        <v>36</v>
      </c>
      <c r="C29" s="22">
        <f>C28*Assumptions!B23</f>
        <v>0</v>
      </c>
      <c r="D29" s="22">
        <f>D28*Assumptions!C23</f>
        <v>0</v>
      </c>
      <c r="E29" s="22">
        <f>E28*Assumptions!D23</f>
        <v>0</v>
      </c>
    </row>
    <row r="30" ht="15.75" customHeight="1">
      <c r="B30" s="19" t="s">
        <v>35</v>
      </c>
      <c r="C30" s="22">
        <f t="shared" ref="C30:E30" si="9">C28-C29</f>
        <v>76646.304</v>
      </c>
      <c r="D30" s="22">
        <f t="shared" si="9"/>
        <v>469031.424</v>
      </c>
      <c r="E30" s="22">
        <f t="shared" si="9"/>
        <v>1723188</v>
      </c>
    </row>
    <row r="31" ht="15.75" customHeight="1">
      <c r="B31" s="15" t="s">
        <v>40</v>
      </c>
      <c r="C31" s="23">
        <f t="shared" ref="C31:E31" si="10">C25+C28</f>
        <v>88099.2</v>
      </c>
      <c r="D31" s="23">
        <f t="shared" si="10"/>
        <v>527001.6</v>
      </c>
      <c r="E31" s="23">
        <f t="shared" si="10"/>
        <v>2027280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5:E15"/>
    <mergeCell ref="A24:E2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2026-05-06T06:44:54Z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